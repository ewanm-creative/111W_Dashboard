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always"/>
  <mc:AlternateContent xmlns:mc="http://schemas.openxmlformats.org/markup-compatibility/2006">
    <mc:Choice Requires="x15">
      <x15ac:absPath xmlns:x15ac="http://schemas.microsoft.com/office/spreadsheetml/2010/11/ac" url="https://1843288studiosnaiderochicag-my.sharepoint.com/personal/ewan_210designhouse_com/Documents/Shared/111W_Logistics Site/"/>
    </mc:Choice>
  </mc:AlternateContent>
  <xr:revisionPtr revIDLastSave="1100" documentId="8_{795D0CBF-FF78-44D4-81CE-8FE1FFD32379}" xr6:coauthVersionLast="47" xr6:coauthVersionMax="47" xr10:uidLastSave="{5DCF8F56-F80E-4936-9B8C-6C6ED952CF58}"/>
  <bookViews>
    <workbookView xWindow="-120" yWindow="-120" windowWidth="29040" windowHeight="15720" activeTab="1" xr2:uid="{DA2C5888-FBCB-45D1-9271-09602ECB37F1}"/>
  </bookViews>
  <sheets>
    <sheet name="111 Wall Dashboard" sheetId="5" r:id="rId1"/>
    <sheet name="111 Wall_Building Matrix" sheetId="6" r:id="rId2"/>
    <sheet name="111 Wall_CTNR Schedule" sheetId="3" r:id="rId3"/>
    <sheet name="111 Wall to CCM" sheetId="8" r:id="rId4"/>
    <sheet name="CTNR-Floor" sheetId="10" r:id="rId5"/>
    <sheet name="111W_CTNR Matrix (Condensed)" sheetId="2" r:id="rId6"/>
    <sheet name="&gt;&gt;&gt;" sheetId="9" r:id="rId7"/>
  </sheets>
  <externalReferences>
    <externalReference r:id="rId8"/>
  </externalReferences>
  <definedNames>
    <definedName name="ColumnTitle1">#REF!</definedName>
    <definedName name="_xlnm.Print_Area" localSheetId="3">'111 Wall to CCM'!$A$1:$P$59</definedName>
    <definedName name="_xlnm.Print_Area" localSheetId="5">'111W_CTNR Matrix (Condensed)'!$C$1:$BK$69</definedName>
    <definedName name="RowTitleRegion1..D4">#REF!</definedName>
    <definedName name="RowTitleRegion2..D1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D6" i="10" l="1" a="1"/>
  <c r="C8" i="3" a="1"/>
  <c r="D42" i="2" a="1"/>
  <c r="D7" i="2" a="1"/>
  <c r="C77" i="6" a="1"/>
  <c r="C84" i="6" a="1"/>
  <c r="C83" i="6" a="1"/>
  <c r="C80" i="6" a="1"/>
  <c r="C78" i="6" a="1"/>
  <c r="C87" i="6" a="1"/>
  <c r="C86" i="6" a="1"/>
  <c r="C81" i="6" a="1"/>
  <c r="C65" i="6" a="1"/>
  <c r="C66" i="6" a="1"/>
  <c r="C69" i="6" a="1"/>
  <c r="C68" i="6" a="1"/>
  <c r="C74" i="6" a="1"/>
  <c r="C71" i="6" a="1"/>
  <c r="C75" i="6" a="1"/>
  <c r="C72" i="6" a="1"/>
  <c r="C63" i="6" a="1"/>
  <c r="C53" i="6" a="1"/>
  <c r="C62" i="6" a="1"/>
  <c r="C60" i="6" a="1"/>
  <c r="C57" i="6" a="1"/>
  <c r="C59" i="6" a="1"/>
  <c r="C54" i="6" a="1"/>
  <c r="C51" i="6" a="1"/>
  <c r="C56" i="6" a="1"/>
  <c r="C48" i="6" a="1"/>
  <c r="C47" i="6" a="1"/>
  <c r="C41" i="6" a="1"/>
  <c r="C50" i="6" a="1"/>
  <c r="C45" i="6" a="1"/>
  <c r="C42" i="6" a="1"/>
  <c r="C44" i="6" a="1"/>
  <c r="C39" i="6" a="1"/>
  <c r="C29" i="6" a="1"/>
  <c r="C36" i="6" a="1"/>
  <c r="C30" i="6" a="1"/>
  <c r="C35" i="6" a="1"/>
  <c r="C38" i="6" a="1"/>
  <c r="C33" i="6" a="1"/>
  <c r="C32" i="6" a="1"/>
  <c r="C20" i="6" a="1"/>
  <c r="C18" i="6" a="1"/>
  <c r="C27" i="6" a="1"/>
  <c r="C23" i="6" a="1"/>
  <c r="C24" i="6" a="1"/>
  <c r="C21" i="6" a="1"/>
  <c r="C26" i="6" a="1"/>
  <c r="C9" i="6" a="1"/>
  <c r="C8" i="6" a="1"/>
  <c r="C15" i="6" a="1"/>
  <c r="C17" i="6" a="1"/>
  <c r="C14" i="6" a="1"/>
  <c r="C11" i="6" a="1"/>
  <c r="C12" i="6" a="1"/>
  <c r="C6" i="10" a="1"/>
  <c r="O3" i="8"/>
  <c r="N2" i="8"/>
  <c r="B8" i="6" a="1"/>
  <c r="O3" i="5"/>
  <c r="N2" i="5"/>
  <c r="AL2" i="3"/>
  <c r="BJ85" i="6" l="1"/>
  <c r="BJ82" i="6"/>
  <c r="BJ79" i="6"/>
  <c r="BJ76" i="6"/>
  <c r="BJ73" i="6"/>
  <c r="BJ70" i="6"/>
  <c r="BJ67" i="6"/>
  <c r="BJ64" i="6"/>
  <c r="BJ61" i="6"/>
  <c r="BJ52" i="6"/>
  <c r="BJ49" i="6"/>
  <c r="BJ46" i="6"/>
  <c r="BJ43" i="6"/>
  <c r="BJ40" i="6"/>
  <c r="BJ28" i="6"/>
  <c r="BJ19" i="6"/>
  <c r="BJ13" i="6"/>
  <c r="BJ58" i="6"/>
  <c r="BJ55" i="6"/>
  <c r="BJ37" i="6"/>
  <c r="BJ31" i="6"/>
  <c r="BJ22" i="6"/>
  <c r="BJ16" i="6"/>
  <c r="BJ7" i="6"/>
  <c r="C7" i="6" a="1"/>
  <c r="C10" i="6" a="1"/>
  <c r="C13" i="6" a="1"/>
  <c r="C16" i="6" a="1"/>
  <c r="C19" i="6" a="1"/>
  <c r="C22" i="6" a="1"/>
  <c r="C25" i="6" a="1"/>
  <c r="C28" i="6" a="1"/>
  <c r="C31" i="6" a="1"/>
  <c r="C34" i="6" a="1"/>
  <c r="C37" i="6" a="1"/>
  <c r="C40" i="6" a="1"/>
  <c r="C43" i="6" a="1"/>
  <c r="C46" i="6" a="1"/>
  <c r="C49" i="6" a="1"/>
  <c r="C52" i="6" a="1"/>
  <c r="C55" i="6" a="1"/>
  <c r="C58" i="6" a="1"/>
  <c r="C61" i="6" a="1"/>
  <c r="C64" i="6" a="1"/>
  <c r="C67" i="6" a="1"/>
  <c r="C70" i="6" a="1"/>
  <c r="C73" i="6" a="1"/>
  <c r="C76" i="6" a="1"/>
  <c r="C79" i="6" a="1"/>
  <c r="C82" i="6" a="1"/>
  <c r="C85" i="6" a="1"/>
  <c r="BJ34" i="6"/>
  <c r="BJ25" i="6"/>
  <c r="BJ10" i="6"/>
  <c r="BJ38" i="6" l="1"/>
  <c r="BN38" i="6"/>
  <c r="BJ86" i="6"/>
  <c r="BN86" i="6"/>
  <c r="BJ56" i="6"/>
  <c r="BN56" i="6"/>
  <c r="BJ44" i="6"/>
  <c r="BN44" i="6"/>
  <c r="BN53" i="6"/>
  <c r="BJ53" i="6"/>
  <c r="BO53" i="6" s="1"/>
  <c r="BJ41" i="6"/>
  <c r="BN41" i="6"/>
  <c r="BJ50" i="6"/>
  <c r="BN50" i="6"/>
  <c r="BJ47" i="6"/>
  <c r="BN47" i="6"/>
  <c r="BO56" i="6" l="1"/>
  <c r="BO38" i="6"/>
  <c r="BO41" i="6"/>
  <c r="BO86" i="6"/>
  <c r="BO44" i="6"/>
  <c r="BO50" i="6"/>
  <c r="BO47" i="6"/>
  <c r="BN8" i="6"/>
  <c r="BJ8" i="6"/>
  <c r="BO8" i="6" l="1"/>
  <c r="BJ11" i="6" l="1"/>
  <c r="BN11" i="6"/>
  <c r="BO11" i="6" l="1"/>
  <c r="BJ14" i="6" l="1"/>
  <c r="BN14" i="6"/>
  <c r="BO14" i="6" l="1"/>
  <c r="BN17" i="6" l="1"/>
  <c r="BJ17" i="6"/>
  <c r="BO17" i="6" l="1"/>
  <c r="BJ20" i="6" l="1"/>
  <c r="BN20" i="6"/>
  <c r="BJ23" i="6"/>
  <c r="BN23" i="6"/>
  <c r="BJ26" i="6"/>
  <c r="BN26" i="6"/>
  <c r="BJ29" i="6"/>
  <c r="BN29" i="6"/>
  <c r="BJ32" i="6"/>
  <c r="BN32" i="6"/>
  <c r="BN35" i="6"/>
  <c r="BJ35" i="6"/>
  <c r="BO35" i="6" s="1"/>
  <c r="BO26" i="6" l="1"/>
  <c r="BO29" i="6"/>
  <c r="BO32" i="6"/>
  <c r="BO23" i="6"/>
  <c r="BO20" i="6"/>
  <c r="BJ80" i="6" l="1"/>
  <c r="BN80" i="6"/>
  <c r="BJ83" i="6"/>
  <c r="BN83" i="6"/>
  <c r="BJ77" i="6"/>
  <c r="BN77" i="6"/>
  <c r="BN74" i="6"/>
  <c r="BJ74" i="6"/>
  <c r="BN71" i="6"/>
  <c r="BJ71" i="6"/>
  <c r="BJ68" i="6"/>
  <c r="BN68" i="6"/>
  <c r="BN65" i="6"/>
  <c r="BJ65" i="6"/>
  <c r="BO65" i="6" s="1"/>
  <c r="BN62" i="6"/>
  <c r="BJ62" i="6"/>
  <c r="BJ59" i="6"/>
  <c r="BN59" i="6"/>
  <c r="BL17" i="2"/>
  <c r="BL20" i="2"/>
  <c r="BL10" i="2"/>
  <c r="BP8" i="2"/>
  <c r="BL22" i="2"/>
  <c r="BP17" i="2"/>
  <c r="BP20" i="2"/>
  <c r="BP10" i="2"/>
  <c r="BL11" i="2"/>
  <c r="BP11" i="2"/>
  <c r="BL15" i="2"/>
  <c r="BP15" i="2"/>
  <c r="BL8" i="2"/>
  <c r="BL19" i="2"/>
  <c r="BL14" i="2"/>
  <c r="BL31" i="2"/>
  <c r="BL32" i="2"/>
  <c r="BP26" i="2"/>
  <c r="BP7" i="2"/>
  <c r="BP16" i="2"/>
  <c r="BP12" i="2"/>
  <c r="BL28" i="2"/>
  <c r="BP13" i="2"/>
  <c r="BP19" i="2"/>
  <c r="BP14" i="2"/>
  <c r="BP31" i="2"/>
  <c r="BP32" i="2"/>
  <c r="BL7" i="2"/>
  <c r="BL16" i="2"/>
  <c r="BL12" i="2"/>
  <c r="BP28" i="2"/>
  <c r="BP29" i="2"/>
  <c r="BL24" i="2"/>
  <c r="BP24" i="2"/>
  <c r="BL23" i="2"/>
  <c r="BL30" i="2"/>
  <c r="BP23" i="2"/>
  <c r="BL25" i="2"/>
  <c r="BP25" i="2"/>
  <c r="BL9" i="2"/>
  <c r="BP9" i="2"/>
  <c r="BL27" i="2"/>
  <c r="BP27" i="2"/>
  <c r="BL21" i="2"/>
  <c r="BP30" i="2"/>
  <c r="BL26" i="2"/>
  <c r="BL29" i="2"/>
  <c r="BL13" i="2"/>
  <c r="BP21" i="2"/>
  <c r="BP22" i="2"/>
  <c r="BL18" i="2"/>
  <c r="BP18" i="2"/>
  <c r="BL33" i="2"/>
  <c r="BQ33" i="2" s="1"/>
  <c r="K22" i="8" a="1"/>
  <c r="N22" i="5" a="1"/>
  <c r="D12" i="8"/>
  <c r="AP9" i="3" a="1"/>
  <c r="K32" i="10" a="1"/>
  <c r="G32" i="10" a="1"/>
  <c r="H22" i="8" a="1"/>
  <c r="G22" i="8" a="1"/>
  <c r="I22" i="5" a="1"/>
  <c r="D13" i="5"/>
  <c r="N32" i="10" a="1"/>
  <c r="E22" i="5" a="1"/>
  <c r="D8" i="8"/>
  <c r="I12" i="8" a="1"/>
  <c r="F22" i="5" a="1"/>
  <c r="D22" i="8" a="1"/>
  <c r="M22" i="8" a="1"/>
  <c r="I10" i="5" a="1"/>
  <c r="C22" i="5" a="1"/>
  <c r="I10" i="8" a="1"/>
  <c r="I7" i="8" a="1"/>
  <c r="I22" i="8" a="1"/>
  <c r="J22" i="8" a="1"/>
  <c r="G22" i="5" a="1"/>
  <c r="M32" i="10" a="1"/>
  <c r="I32" i="10" a="1"/>
  <c r="E32" i="10" a="1"/>
  <c r="M31" i="10" a="1"/>
  <c r="L31" i="10" a="1"/>
  <c r="K31" i="10" a="1"/>
  <c r="J31" i="10" a="1"/>
  <c r="I31" i="10" a="1"/>
  <c r="H31" i="10" a="1"/>
  <c r="G31" i="10" a="1"/>
  <c r="F31" i="10" a="1"/>
  <c r="E31" i="10" a="1"/>
  <c r="N30" i="10" a="1"/>
  <c r="M30" i="10" a="1"/>
  <c r="L30" i="10" a="1"/>
  <c r="K30" i="10" a="1"/>
  <c r="J30" i="10" a="1"/>
  <c r="I30" i="10" a="1"/>
  <c r="H30" i="10" a="1"/>
  <c r="G30" i="10" a="1"/>
  <c r="F30" i="10" a="1"/>
  <c r="E30" i="10" a="1"/>
  <c r="N29" i="10" a="1"/>
  <c r="M29" i="10" a="1"/>
  <c r="L29" i="10" a="1"/>
  <c r="K29" i="10" a="1"/>
  <c r="J29" i="10" a="1"/>
  <c r="I29" i="10" a="1"/>
  <c r="H29" i="10" a="1"/>
  <c r="G29" i="10" a="1"/>
  <c r="F29" i="10" a="1"/>
  <c r="E29" i="10" a="1"/>
  <c r="N28" i="10" a="1"/>
  <c r="M28" i="10" a="1"/>
  <c r="L28" i="10" a="1"/>
  <c r="K28" i="10" a="1"/>
  <c r="L19" i="10" a="1"/>
  <c r="I19" i="10" a="1"/>
  <c r="F19" i="10" a="1"/>
  <c r="N18" i="10" a="1"/>
  <c r="L13" i="10" a="1"/>
  <c r="G13" i="10" a="1"/>
  <c r="M12" i="10" a="1"/>
  <c r="J12" i="10" a="1"/>
  <c r="J28" i="10" a="1"/>
  <c r="I28" i="10" a="1"/>
  <c r="H28" i="10" a="1"/>
  <c r="G28" i="10" a="1"/>
  <c r="F28" i="10" a="1"/>
  <c r="E28" i="10" a="1"/>
  <c r="N27" i="10" a="1"/>
  <c r="M27" i="10" a="1"/>
  <c r="L27" i="10" a="1"/>
  <c r="K27" i="10" a="1"/>
  <c r="J27" i="10" a="1"/>
  <c r="H27" i="10" a="1"/>
  <c r="G27" i="10" a="1"/>
  <c r="F27" i="10" a="1"/>
  <c r="N26" i="10" a="1"/>
  <c r="L26" i="10" a="1"/>
  <c r="J26" i="10" a="1"/>
  <c r="H26" i="10" a="1"/>
  <c r="F26" i="10" a="1"/>
  <c r="E26" i="10" a="1"/>
  <c r="M25" i="10" a="1"/>
  <c r="K25" i="10" a="1"/>
  <c r="I25" i="10" a="1"/>
  <c r="G25" i="10" a="1"/>
  <c r="E25" i="10" a="1"/>
  <c r="M24" i="10" a="1"/>
  <c r="K24" i="10" a="1"/>
  <c r="I24" i="10" a="1"/>
  <c r="G24" i="10" a="1"/>
  <c r="N23" i="10" a="1"/>
  <c r="L23" i="10" a="1"/>
  <c r="K23" i="10" a="1"/>
  <c r="H23" i="10" a="1"/>
  <c r="M21" i="10" a="1"/>
  <c r="K21" i="10" a="1"/>
  <c r="I21" i="10" a="1"/>
  <c r="G21" i="10" a="1"/>
  <c r="E21" i="10" a="1"/>
  <c r="M20" i="10" a="1"/>
  <c r="K20" i="10" a="1"/>
  <c r="I20" i="10" a="1"/>
  <c r="G20" i="10" a="1"/>
  <c r="E20" i="10" a="1"/>
  <c r="M19" i="10" a="1"/>
  <c r="J19" i="10" a="1"/>
  <c r="G19" i="10" a="1"/>
  <c r="M18" i="10" a="1"/>
  <c r="K13" i="10" a="1"/>
  <c r="F13" i="10" a="1"/>
  <c r="L12" i="10" a="1"/>
  <c r="H12" i="10" a="1"/>
  <c r="D7" i="5"/>
  <c r="D7" i="8"/>
  <c r="D22" i="5" a="1"/>
  <c r="E22" i="8" a="1"/>
  <c r="I11" i="5" a="1"/>
  <c r="D14" i="8"/>
  <c r="B7" i="8"/>
  <c r="I7" i="5" a="1"/>
  <c r="I8" i="8" a="1"/>
  <c r="H22" i="5" a="1"/>
  <c r="J32" i="10" a="1"/>
  <c r="F32" i="10" a="1"/>
  <c r="F23" i="10" a="1"/>
  <c r="N22" i="10" a="1"/>
  <c r="L22" i="10" a="1"/>
  <c r="J22" i="10" a="1"/>
  <c r="H22" i="10" a="1"/>
  <c r="F22" i="10" a="1"/>
  <c r="N21" i="10" a="1"/>
  <c r="I27" i="10" a="1"/>
  <c r="E27" i="10" a="1"/>
  <c r="M26" i="10" a="1"/>
  <c r="K26" i="10" a="1"/>
  <c r="I26" i="10" a="1"/>
  <c r="G26" i="10" a="1"/>
  <c r="N25" i="10" a="1"/>
  <c r="L25" i="10" a="1"/>
  <c r="J25" i="10" a="1"/>
  <c r="H25" i="10" a="1"/>
  <c r="F25" i="10" a="1"/>
  <c r="N24" i="10" a="1"/>
  <c r="L24" i="10" a="1"/>
  <c r="J24" i="10" a="1"/>
  <c r="H24" i="10" a="1"/>
  <c r="F24" i="10" a="1"/>
  <c r="E24" i="10" a="1"/>
  <c r="M23" i="10" a="1"/>
  <c r="J23" i="10" a="1"/>
  <c r="I23" i="10" a="1"/>
  <c r="G23" i="10" a="1"/>
  <c r="E23" i="10" a="1"/>
  <c r="M22" i="10" a="1"/>
  <c r="K22" i="10" a="1"/>
  <c r="I22" i="10" a="1"/>
  <c r="G22" i="10" a="1"/>
  <c r="E22" i="10" a="1"/>
  <c r="L21" i="10" a="1"/>
  <c r="J21" i="10" a="1"/>
  <c r="H21" i="10" a="1"/>
  <c r="F21" i="10" a="1"/>
  <c r="N20" i="10" a="1"/>
  <c r="L20" i="10" a="1"/>
  <c r="J20" i="10" a="1"/>
  <c r="H20" i="10" a="1"/>
  <c r="F20" i="10" a="1"/>
  <c r="N19" i="10" a="1"/>
  <c r="K19" i="10" a="1"/>
  <c r="H19" i="10" a="1"/>
  <c r="E19" i="10" a="1"/>
  <c r="M13" i="10" a="1"/>
  <c r="I13" i="10" a="1"/>
  <c r="E13" i="10" a="1"/>
  <c r="K12" i="10" a="1"/>
  <c r="I8" i="5" a="1"/>
  <c r="B22" i="8" a="1"/>
  <c r="D14" i="5"/>
  <c r="B22" i="5" a="1"/>
  <c r="K22" i="5" a="1"/>
  <c r="J22" i="5" a="1"/>
  <c r="I9" i="8" a="1"/>
  <c r="D13" i="8"/>
  <c r="I11" i="8" a="1"/>
  <c r="L18" i="10" a="1"/>
  <c r="K18" i="10" a="1"/>
  <c r="J18" i="10" a="1"/>
  <c r="I18" i="10" a="1"/>
  <c r="H18" i="10" a="1"/>
  <c r="G18" i="10" a="1"/>
  <c r="F18" i="10" a="1"/>
  <c r="E18" i="10" a="1"/>
  <c r="N17" i="10" a="1"/>
  <c r="M17" i="10" a="1"/>
  <c r="L17" i="10" a="1"/>
  <c r="K17" i="10" a="1"/>
  <c r="J17" i="10" a="1"/>
  <c r="I17" i="10" a="1"/>
  <c r="H17" i="10" a="1"/>
  <c r="G17" i="10" a="1"/>
  <c r="F17" i="10" a="1"/>
  <c r="E17" i="10" a="1"/>
  <c r="N16" i="10" a="1"/>
  <c r="M16" i="10" a="1"/>
  <c r="L16" i="10" a="1"/>
  <c r="K16" i="10" a="1"/>
  <c r="J16" i="10" a="1"/>
  <c r="I16" i="10" a="1"/>
  <c r="H16" i="10" a="1"/>
  <c r="G16" i="10" a="1"/>
  <c r="F16" i="10" a="1"/>
  <c r="E16" i="10" a="1"/>
  <c r="N15" i="10" a="1"/>
  <c r="M15" i="10" a="1"/>
  <c r="L15" i="10" a="1"/>
  <c r="K15" i="10" a="1"/>
  <c r="J15" i="10" a="1"/>
  <c r="I15" i="10" a="1"/>
  <c r="H15" i="10" a="1"/>
  <c r="G15" i="10" a="1"/>
  <c r="F15" i="10" a="1"/>
  <c r="E15" i="10" a="1"/>
  <c r="N14" i="10" a="1"/>
  <c r="M14" i="10" a="1"/>
  <c r="L14" i="10" a="1"/>
  <c r="K14" i="10" a="1"/>
  <c r="J14" i="10" a="1"/>
  <c r="I14" i="10" a="1"/>
  <c r="H14" i="10" a="1"/>
  <c r="G14" i="10" a="1"/>
  <c r="F14" i="10" a="1"/>
  <c r="E14" i="10" a="1"/>
  <c r="N13" i="10" a="1"/>
  <c r="J13" i="10" a="1"/>
  <c r="H13" i="10" a="1"/>
  <c r="N12" i="10" a="1"/>
  <c r="I12" i="10" a="1"/>
  <c r="C22" i="8" a="1"/>
  <c r="I9" i="5" a="1"/>
  <c r="G12" i="10" a="1"/>
  <c r="F12" i="10" a="1"/>
  <c r="E12" i="10" a="1"/>
  <c r="N11" i="10" a="1"/>
  <c r="M11" i="10" a="1"/>
  <c r="L11" i="10" a="1"/>
  <c r="K11" i="10" a="1"/>
  <c r="J11" i="10" a="1"/>
  <c r="I11" i="10" a="1"/>
  <c r="H11" i="10" a="1"/>
  <c r="G11" i="10" a="1"/>
  <c r="F11" i="10" a="1"/>
  <c r="E11" i="10" a="1"/>
  <c r="N10" i="10" a="1"/>
  <c r="M10" i="10" a="1"/>
  <c r="L10" i="10" a="1"/>
  <c r="K10" i="10" a="1"/>
  <c r="J10" i="10" a="1"/>
  <c r="I10" i="10" a="1"/>
  <c r="H10" i="10" a="1"/>
  <c r="G10" i="10" a="1"/>
  <c r="F10" i="10" a="1"/>
  <c r="E10" i="10" a="1"/>
  <c r="N9" i="10" a="1"/>
  <c r="M9" i="10" a="1"/>
  <c r="L9" i="10" a="1"/>
  <c r="K9" i="10" a="1"/>
  <c r="J9" i="10" a="1"/>
  <c r="I9" i="10" a="1"/>
  <c r="H9" i="10" a="1"/>
  <c r="G9" i="10" a="1"/>
  <c r="F9" i="10" a="1"/>
  <c r="E9" i="10" a="1"/>
  <c r="D8" i="5"/>
  <c r="D12" i="5"/>
  <c r="F22" i="8" a="1"/>
  <c r="L32" i="10" a="1"/>
  <c r="H32" i="10" a="1"/>
  <c r="N31" i="10" a="1"/>
  <c r="I12" i="5" a="1"/>
  <c r="N8" i="10" a="1"/>
  <c r="M8" i="10" a="1"/>
  <c r="L8" i="10" a="1"/>
  <c r="K8" i="10" a="1"/>
  <c r="J8" i="10" a="1"/>
  <c r="I8" i="10" a="1"/>
  <c r="H8" i="10" a="1"/>
  <c r="G8" i="10" a="1"/>
  <c r="F8" i="10" a="1"/>
  <c r="E8" i="10" a="1"/>
  <c r="N7" i="10" a="1"/>
  <c r="M7" i="10" a="1"/>
  <c r="L7" i="10" a="1"/>
  <c r="K7" i="10" a="1"/>
  <c r="J7" i="10" a="1"/>
  <c r="I7" i="10" a="1"/>
  <c r="H7" i="10" a="1"/>
  <c r="G7" i="10" a="1"/>
  <c r="F7" i="10" a="1"/>
  <c r="E7" i="10" a="1"/>
  <c r="N6" i="10" a="1"/>
  <c r="M6" i="10" a="1"/>
  <c r="L6" i="10" a="1"/>
  <c r="K6" i="10" a="1"/>
  <c r="J6" i="10" a="1"/>
  <c r="I6" i="10" a="1"/>
  <c r="H6" i="10" a="1"/>
  <c r="G6" i="10" a="1"/>
  <c r="F6" i="10" a="1"/>
  <c r="E6" i="10" a="1"/>
  <c r="B7" i="5"/>
  <c r="M22" i="5" a="1"/>
  <c r="J9" i="5" l="1"/>
  <c r="BQ11" i="2"/>
  <c r="BQ20" i="2"/>
  <c r="BQ22" i="2"/>
  <c r="BQ28" i="2"/>
  <c r="L7" i="5" a="1"/>
  <c r="BQ15" i="2"/>
  <c r="BQ8" i="2"/>
  <c r="BQ19" i="2"/>
  <c r="BQ14" i="2"/>
  <c r="BQ31" i="2"/>
  <c r="BQ32" i="2"/>
  <c r="BQ21" i="2"/>
  <c r="J12" i="8"/>
  <c r="BQ17" i="2"/>
  <c r="BQ10" i="2"/>
  <c r="BQ7" i="2"/>
  <c r="BQ16" i="2"/>
  <c r="BQ12" i="2"/>
  <c r="BQ24" i="2"/>
  <c r="BQ23" i="2"/>
  <c r="BQ30" i="2"/>
  <c r="BQ25" i="2"/>
  <c r="BQ9" i="2"/>
  <c r="BQ27" i="2"/>
  <c r="BQ26" i="2"/>
  <c r="BQ29" i="2"/>
  <c r="BQ13" i="2"/>
  <c r="BQ18" i="2"/>
  <c r="D15" i="8"/>
  <c r="J10" i="5"/>
  <c r="J10" i="8"/>
  <c r="J7" i="8"/>
  <c r="J11" i="5"/>
  <c r="J7" i="5"/>
  <c r="J8" i="8"/>
  <c r="J8" i="5"/>
  <c r="J9" i="8"/>
  <c r="J11" i="8"/>
  <c r="BO59" i="6"/>
  <c r="D15" i="5"/>
  <c r="J12" i="5"/>
  <c r="BO80" i="6"/>
  <c r="BO77" i="6"/>
  <c r="BO74" i="6"/>
  <c r="BO62" i="6"/>
  <c r="BO83" i="6"/>
  <c r="BO71" i="6"/>
  <c r="BO68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<sst xmlns="http://schemas.openxmlformats.org/spreadsheetml/2006/main" count="231" uniqueCount="114">
  <si>
    <t>HOIST</t>
  </si>
  <si>
    <t>UNITS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</si>
  <si>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</si>
  <si>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</si>
  <si>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</si>
  <si>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</si>
  <si>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</si>
  <si>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</si>
  <si>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</si>
  <si>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</si>
  <si>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</si>
  <si>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</si>
  <si>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</si>
  <si>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</si>
  <si>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FLR</t>
  </si>
  <si>
    <t>TCO#1</t>
  </si>
  <si>
    <t>KITCHENS DELIVERED out of</t>
  </si>
  <si>
    <t>111 WALL-CONTAINER SCHEDULE</t>
  </si>
  <si>
    <t>FULL BREAKDOWN / SHIPPING LOGOISTICS</t>
  </si>
  <si>
    <t>CTNR INFORMATION</t>
  </si>
  <si>
    <t xml:space="preserve">LOADING SEQUENCE FR. FI </t>
  </si>
  <si>
    <t xml:space="preserve">SEA FREIGHT SHIPPED </t>
  </si>
  <si>
    <t>NY/NJ)</t>
  </si>
  <si>
    <t>DELIVERY (3RD LEG)</t>
  </si>
  <si>
    <t>PROJECT STATUS</t>
  </si>
  <si>
    <t>TOTAL TASKS</t>
  </si>
  <si>
    <t>CONT. STATUS</t>
  </si>
  <si>
    <t>CONT. #</t>
  </si>
  <si>
    <t>WEEK</t>
  </si>
  <si>
    <t>PICKUP WEEK</t>
  </si>
  <si>
    <t>FLOORS</t>
  </si>
  <si>
    <t>UNIT Q.ty</t>
  </si>
  <si>
    <t>ORDERED</t>
  </si>
  <si>
    <t>CONT. CODE</t>
  </si>
  <si>
    <t>CONT. SEAL</t>
  </si>
  <si>
    <t>ESTIMATED LOADING WEEK</t>
  </si>
  <si>
    <t>LOADED</t>
  </si>
  <si>
    <t>LOAD DATE</t>
  </si>
  <si>
    <t>LOAD DAYS</t>
  </si>
  <si>
    <t>SHIPPED</t>
  </si>
  <si>
    <t>SHIP DATE</t>
  </si>
  <si>
    <t>VESSEL</t>
  </si>
  <si>
    <t>TRANSIT DAYS</t>
  </si>
  <si>
    <t>ARRIVAL</t>
  </si>
  <si>
    <t>ARRIVAL DATE</t>
  </si>
  <si>
    <t>PORT DAYS</t>
  </si>
  <si>
    <t>PULLED</t>
  </si>
  <si>
    <t>DELIVERED</t>
  </si>
  <si>
    <t>DELIVERY DATE</t>
  </si>
  <si>
    <t>TIME</t>
  </si>
  <si>
    <t>LOADING AREA</t>
  </si>
  <si>
    <t>ASK</t>
  </si>
  <si>
    <t>CONFIRM</t>
  </si>
  <si>
    <t xml:space="preserve">SENT INSTALL </t>
  </si>
  <si>
    <t xml:space="preserve">ROJ </t>
  </si>
  <si>
    <t>PROJECT STATUS (DELIVERED VS JOBSITE NEEDS)</t>
  </si>
  <si>
    <t xml:space="preserve">TOTAL COMMUTE  </t>
  </si>
  <si>
    <t>MISC NOTES</t>
  </si>
  <si>
    <t>PROGRESS</t>
  </si>
  <si>
    <t xml:space="preserve"> Total Containers</t>
  </si>
  <si>
    <t>Units Delivered</t>
  </si>
  <si>
    <t xml:space="preserve">Container Status </t>
  </si>
  <si>
    <t>Outlook Copy - Top 10</t>
  </si>
  <si>
    <t>Coming Soon</t>
  </si>
  <si>
    <t>PROJECTED</t>
  </si>
  <si>
    <t>LOADING</t>
  </si>
  <si>
    <t>ENROUTE</t>
  </si>
  <si>
    <t xml:space="preserve"> Transit Performance</t>
  </si>
  <si>
    <t>Average Load Days</t>
  </si>
  <si>
    <t>Average In Port Days</t>
  </si>
  <si>
    <t>Total Transit Time</t>
  </si>
  <si>
    <t xml:space="preserve"> Container Schedule</t>
  </si>
  <si>
    <t>CTNR No.</t>
  </si>
  <si>
    <t>Status</t>
  </si>
  <si>
    <t>CTNR Code</t>
  </si>
  <si>
    <t>Load WK</t>
  </si>
  <si>
    <t>Load Date</t>
  </si>
  <si>
    <t>DELIVERY</t>
  </si>
  <si>
    <t>Confirmed?</t>
  </si>
  <si>
    <t>Floor</t>
  </si>
  <si>
    <t>Unit Q.ty</t>
  </si>
  <si>
    <t xml:space="preserve"> Apartment Tower - 58 units x X floors</t>
  </si>
  <si>
    <t xml:space="preserve"> 111 Wall - Concerto Millwork - Logistics Dashboard</t>
  </si>
  <si>
    <t>Average Sea Transit Days</t>
  </si>
  <si>
    <t>IN PORT</t>
  </si>
  <si>
    <t xml:space="preserve">ETA NY </t>
  </si>
  <si>
    <t xml:space="preserve">TCO 1 + Only </t>
  </si>
  <si>
    <t>111W - CONDENSED BUILDING / CTNR NO. MATRIX</t>
  </si>
  <si>
    <t>111W - CONDENSED BUILDING / STATUS MATRIX</t>
  </si>
  <si>
    <t>111W -BUILDING MATRIX</t>
  </si>
  <si>
    <t>FLOOR</t>
  </si>
  <si>
    <t>KITCHEN TYPE &amp; STATUS</t>
  </si>
  <si>
    <t>Top-Down</t>
  </si>
  <si>
    <t>= Flip the Building</t>
  </si>
  <si>
    <t>Units</t>
  </si>
  <si>
    <t>Damages</t>
  </si>
  <si>
    <t>TBD</t>
  </si>
  <si>
    <t xml:space="preserve">   Container Status </t>
  </si>
  <si>
    <t xml:space="preserve"> 111 Wall - Concerto Millwork - Scheduling</t>
  </si>
  <si>
    <t>NEXT UP</t>
  </si>
  <si>
    <t>Notes</t>
  </si>
  <si>
    <t xml:space="preserve">Floors 3-12 Only </t>
  </si>
  <si>
    <t>Floor-by-Floor Status</t>
  </si>
  <si>
    <t>Date sorting Help tool</t>
  </si>
  <si>
    <t>TCO#2</t>
  </si>
  <si>
    <t>TCO#3</t>
  </si>
  <si>
    <t>TCO#4</t>
  </si>
  <si>
    <t>TCO</t>
  </si>
  <si>
    <t>TCO#</t>
  </si>
  <si>
    <t>Floor #</t>
  </si>
  <si>
    <t>ROJ Date</t>
  </si>
  <si>
    <t>CTNRs</t>
  </si>
  <si>
    <t xml:space="preserve">111 WALL CTNR/FLOOR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</si>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</sst>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"/>
    <numFmt numFmtId="165" formatCode="[$-409]h:mm\ AM/PM;@"/>
    <numFmt numFmtId="166" formatCode="m/d/yy;@"/>
    <numFmt numFmtId="167" formatCode="[$-F800]dddd\,\ mmmm\ dd\,\ yyyy"/>
    <numFmt numFmtId="168" formatCode="[$-409]mmm\-yy;@"/>
    <numFmt numFmtId="169" formatCode="[$-409]dd\ mmm\ yy;@"/>
  </numFmts>
  <fonts count="79" x14ac:knownFonts="1">
    <font>
      <sz val="11"/>
      <color theme="1"/>
      <name val="Bahnschrift"/>
      <family val="2"/>
      <scheme val="minor"/>
    </font>
    <font>
      <sz val="10"/>
      <color rgb="FF000000"/>
      <name val="Arial"/>
      <family val="2"/>
    </font>
    <font>
      <b/>
      <sz val="16"/>
      <name val="Bahnschrift"/>
      <family val="2"/>
    </font>
    <font>
      <sz val="11"/>
      <color theme="3"/>
      <name val="Bahnschrift"/>
      <family val="2"/>
      <scheme val="minor"/>
    </font>
    <font>
      <b/>
      <sz val="11"/>
      <color theme="1"/>
      <name val="Bahnschrift"/>
      <family val="2"/>
    </font>
    <font>
      <b/>
      <sz val="11"/>
      <color theme="5" tint="-0.249977111117893"/>
      <name val="Bahnschrift"/>
      <family val="2"/>
      <scheme val="minor"/>
    </font>
    <font>
      <b/>
      <sz val="11"/>
      <color theme="2" tint="-0.249977111117893"/>
      <name val="Bahnschrift"/>
      <family val="2"/>
      <scheme val="minor"/>
    </font>
    <font>
      <sz val="10"/>
      <color theme="3"/>
      <name val="Bahnschrift"/>
      <family val="2"/>
      <scheme val="minor"/>
    </font>
    <font>
      <sz val="7"/>
      <color theme="3"/>
      <name val="Bahnschrift"/>
      <family val="2"/>
      <scheme val="minor"/>
    </font>
    <font>
      <b/>
      <sz val="10"/>
      <color theme="3"/>
      <name val="Bahnschrift SemiCondensed"/>
      <family val="2"/>
    </font>
    <font>
      <b/>
      <i/>
      <strike/>
      <sz val="10"/>
      <color theme="3"/>
      <name val="Bahnschrift SemiCondensed"/>
      <family val="2"/>
    </font>
    <font>
      <b/>
      <sz val="10"/>
      <color theme="2" tint="-0.249977111117893"/>
      <name val="Bahnschrift"/>
      <family val="2"/>
      <scheme val="minor"/>
    </font>
    <font>
      <b/>
      <sz val="11"/>
      <color theme="3"/>
      <name val="Bahnschrift"/>
      <family val="2"/>
      <scheme val="minor"/>
    </font>
    <font>
      <i/>
      <sz val="10"/>
      <color rgb="FFFF0000"/>
      <name val="Arial"/>
      <family val="2"/>
    </font>
    <font>
      <b/>
      <sz val="20"/>
      <name val="Bahnschrift"/>
      <family val="2"/>
    </font>
    <font>
      <b/>
      <sz val="12"/>
      <color theme="3"/>
      <name val="Bahnschrift"/>
      <family val="2"/>
      <scheme val="minor"/>
    </font>
    <font>
      <sz val="8"/>
      <color theme="3"/>
      <name val="Bahnschrift"/>
      <family val="2"/>
      <scheme val="minor"/>
    </font>
    <font>
      <i/>
      <sz val="10"/>
      <color theme="3"/>
      <name val="Bahnschrift"/>
      <family val="2"/>
      <scheme val="minor"/>
    </font>
    <font>
      <b/>
      <sz val="16"/>
      <color theme="3"/>
      <name val="Bahnschrift"/>
      <family val="2"/>
    </font>
    <font>
      <i/>
      <sz val="9"/>
      <color rgb="FFFF0000"/>
      <name val="Arial"/>
      <family val="2"/>
    </font>
    <font>
      <i/>
      <sz val="11"/>
      <color rgb="FFFF0000"/>
      <name val="Arial"/>
      <family val="2"/>
    </font>
    <font>
      <b/>
      <i/>
      <sz val="11"/>
      <color theme="0"/>
      <name val="Arial"/>
      <family val="2"/>
    </font>
    <font>
      <b/>
      <i/>
      <sz val="11"/>
      <color theme="1"/>
      <name val="Arial"/>
      <family val="2"/>
    </font>
    <font>
      <sz val="11"/>
      <color theme="1"/>
      <name val="Bahnschrift"/>
      <family val="2"/>
    </font>
    <font>
      <b/>
      <sz val="12"/>
      <color theme="1"/>
      <name val="Bahnschrift"/>
      <family val="2"/>
    </font>
    <font>
      <i/>
      <sz val="9"/>
      <color theme="1"/>
      <name val="Bahnschrift"/>
      <family val="2"/>
    </font>
    <font>
      <sz val="12"/>
      <color theme="1"/>
      <name val="Bahnschrift"/>
      <family val="2"/>
    </font>
    <font>
      <sz val="10"/>
      <color theme="1"/>
      <name val="Bahnschrift"/>
      <family val="2"/>
    </font>
    <font>
      <sz val="9"/>
      <color theme="1"/>
      <name val="Bahnschrift"/>
      <family val="2"/>
    </font>
    <font>
      <sz val="8"/>
      <color theme="1"/>
      <name val="Bahnschrift"/>
      <family val="2"/>
    </font>
    <font>
      <i/>
      <sz val="10"/>
      <color theme="1"/>
      <name val="Bahnschrift"/>
      <family val="2"/>
    </font>
    <font>
      <b/>
      <i/>
      <sz val="11"/>
      <color rgb="FFED0000"/>
      <name val="Bahnschrift"/>
      <family val="2"/>
    </font>
    <font>
      <b/>
      <sz val="14"/>
      <color theme="1"/>
      <name val="Bahnschrift"/>
      <family val="2"/>
    </font>
    <font>
      <b/>
      <sz val="14"/>
      <color theme="9"/>
      <name val="Bahnschrift"/>
      <family val="2"/>
    </font>
    <font>
      <sz val="14"/>
      <color theme="2" tint="-0.749992370372631"/>
      <name val="Consolas"/>
      <family val="3"/>
    </font>
    <font>
      <sz val="11"/>
      <color theme="1"/>
      <name val="Segoe UI"/>
      <family val="2"/>
    </font>
    <font>
      <b/>
      <sz val="11"/>
      <color theme="1"/>
      <name val="Bahnschrift"/>
      <family val="2"/>
      <scheme val="minor"/>
    </font>
    <font>
      <sz val="26"/>
      <color theme="1"/>
      <name val="Bahnschrift"/>
      <family val="2"/>
      <scheme val="minor"/>
    </font>
    <font>
      <b/>
      <sz val="12"/>
      <name val="Bahnschrift"/>
      <family val="2"/>
      <scheme val="minor"/>
    </font>
    <font>
      <i/>
      <sz val="11"/>
      <color theme="1" tint="0.249977111117893"/>
      <name val="Bahnschrift"/>
      <family val="2"/>
      <scheme val="minor"/>
    </font>
    <font>
      <b/>
      <sz val="11"/>
      <color theme="1" tint="0.499984740745262"/>
      <name val="Bahnschrift"/>
      <family val="2"/>
      <scheme val="minor"/>
    </font>
    <font>
      <b/>
      <sz val="11"/>
      <color theme="7" tint="-0.499984740745262"/>
      <name val="Bahnschrift"/>
      <family val="2"/>
      <scheme val="minor"/>
    </font>
    <font>
      <b/>
      <sz val="20"/>
      <color theme="1"/>
      <name val="Bahnschrift"/>
      <family val="2"/>
      <scheme val="minor"/>
    </font>
    <font>
      <b/>
      <i/>
      <sz val="11"/>
      <color theme="1"/>
      <name val="Bahnschrift"/>
      <family val="2"/>
      <scheme val="minor"/>
    </font>
    <font>
      <sz val="8"/>
      <color theme="1"/>
      <name val="Bahnschrift"/>
      <family val="2"/>
      <scheme val="minor"/>
    </font>
    <font>
      <sz val="10"/>
      <color theme="1"/>
      <name val="Bahnschrift"/>
      <family val="2"/>
      <scheme val="minor"/>
    </font>
    <font>
      <i/>
      <sz val="10"/>
      <color theme="1" tint="0.499984740745262"/>
      <name val="Bahnschrift"/>
      <family val="2"/>
      <scheme val="minor"/>
    </font>
    <font>
      <sz val="11"/>
      <color theme="1" tint="0.249977111117893"/>
      <name val="Bahnschrift"/>
      <family val="2"/>
      <scheme val="minor"/>
    </font>
    <font>
      <b/>
      <sz val="11"/>
      <name val="Bahnschrift"/>
      <family val="2"/>
      <scheme val="minor"/>
    </font>
    <font>
      <sz val="9"/>
      <color theme="1" tint="0.499984740745262"/>
      <name val="Bahnschrift"/>
      <family val="2"/>
      <scheme val="minor"/>
    </font>
    <font>
      <sz val="10"/>
      <color theme="1" tint="0.499984740745262"/>
      <name val="Bahnschrift"/>
      <family val="2"/>
      <scheme val="minor"/>
    </font>
    <font>
      <sz val="10"/>
      <color theme="1" tint="0.249977111117893"/>
      <name val="Bahnschrift"/>
      <family val="2"/>
      <scheme val="minor"/>
    </font>
    <font>
      <sz val="10"/>
      <color theme="1" tint="0.34998626667073579"/>
      <name val="Bahnschrift"/>
      <family val="2"/>
      <scheme val="minor"/>
    </font>
    <font>
      <sz val="9"/>
      <color theme="1" tint="0.249977111117893"/>
      <name val="Bahnschrift"/>
      <family val="2"/>
      <scheme val="minor"/>
    </font>
    <font>
      <b/>
      <sz val="12"/>
      <color theme="4" tint="-0.499984740745262"/>
      <name val="Bahnschrift"/>
      <family val="2"/>
      <scheme val="minor"/>
    </font>
    <font>
      <b/>
      <sz val="11"/>
      <color theme="4" tint="-0.499984740745262"/>
      <name val="Bahnschrift"/>
      <family val="2"/>
      <scheme val="minor"/>
    </font>
    <font>
      <sz val="10"/>
      <name val="Bahnschrift"/>
      <family val="2"/>
      <scheme val="minor"/>
    </font>
    <font>
      <sz val="11"/>
      <name val="Bahnschrift"/>
      <family val="2"/>
      <scheme val="minor"/>
    </font>
    <font>
      <sz val="9"/>
      <name val="Bahnschrift"/>
      <family val="2"/>
      <scheme val="minor"/>
    </font>
    <font>
      <b/>
      <sz val="10"/>
      <color theme="9"/>
      <name val="Bahnschrift"/>
      <family val="2"/>
    </font>
    <font>
      <b/>
      <sz val="28"/>
      <name val="Bahnschrift"/>
      <family val="2"/>
    </font>
    <font>
      <b/>
      <sz val="28"/>
      <color theme="1"/>
      <name val="Bahnschrift"/>
      <family val="2"/>
    </font>
    <font>
      <sz val="14"/>
      <color theme="3"/>
      <name val="Bahnschrift"/>
      <family val="2"/>
      <scheme val="minor"/>
    </font>
    <font>
      <b/>
      <sz val="22"/>
      <color theme="1"/>
      <name val="Bahnschrift"/>
      <family val="2"/>
    </font>
    <font>
      <b/>
      <sz val="16"/>
      <color theme="1"/>
      <name val="Bahnschrift"/>
      <family val="2"/>
    </font>
    <font>
      <b/>
      <sz val="14"/>
      <color theme="3"/>
      <name val="Bahnschrift"/>
      <family val="2"/>
      <scheme val="minor"/>
    </font>
    <font>
      <b/>
      <sz val="14"/>
      <color theme="0"/>
      <name val="Bahnschrift"/>
      <family val="2"/>
      <scheme val="minor"/>
    </font>
    <font>
      <b/>
      <sz val="14"/>
      <color theme="5" tint="-0.249977111117893"/>
      <name val="Bahnschrift"/>
      <family val="2"/>
      <scheme val="minor"/>
    </font>
    <font>
      <b/>
      <sz val="10"/>
      <color theme="3"/>
      <name val="Bahnschrift"/>
      <family val="2"/>
      <scheme val="minor"/>
    </font>
    <font>
      <b/>
      <sz val="14"/>
      <name val="Bahnschrift"/>
      <family val="2"/>
      <scheme val="minor"/>
    </font>
    <font>
      <sz val="10"/>
      <color rgb="FFF8F8F6"/>
      <name val="Cascadia Code"/>
      <family val="3"/>
    </font>
    <font>
      <i/>
      <sz val="10"/>
      <color theme="9" tint="-0.249977111117893"/>
      <name val="Bahnschrift"/>
      <family val="2"/>
      <scheme val="minor"/>
    </font>
    <font>
      <b/>
      <sz val="14"/>
      <color theme="4" tint="-0.499984740745262"/>
      <name val="Bahnschrift"/>
      <family val="2"/>
      <scheme val="minor"/>
    </font>
    <font>
      <b/>
      <i/>
      <sz val="11"/>
      <color theme="5"/>
      <name val="Bahnschrift"/>
      <family val="2"/>
      <scheme val="minor"/>
    </font>
    <font>
      <b/>
      <sz val="16"/>
      <color theme="3"/>
      <name val="Bahnschrift"/>
      <family val="2"/>
      <scheme val="minor"/>
    </font>
    <font>
      <b/>
      <sz val="18"/>
      <color theme="1"/>
      <name val="Bahnschrift"/>
      <family val="2"/>
    </font>
    <font>
      <sz val="18"/>
      <color theme="3"/>
      <name val="Bahnschrift"/>
      <family val="2"/>
      <scheme val="minor"/>
    </font>
    <font>
      <b/>
      <sz val="14"/>
      <color theme="3"/>
      <name val="Bahnschrift SemiCondensed"/>
      <family val="2"/>
    </font>
    <font>
      <b/>
      <sz val="14"/>
      <color theme="2" tint="-0.249977111117893"/>
      <name val="Bahnschrift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lightUp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8EDFC"/>
        <bgColor indexed="64"/>
      </patternFill>
    </fill>
    <fill>
      <patternFill patternType="solid">
        <fgColor rgb="FFFFFF00"/>
        <bgColor indexed="64"/>
      </patternFill>
    </fill>
    <fill>
      <patternFill patternType="lightUp">
        <bgColor theme="2"/>
      </patternFill>
    </fill>
    <fill>
      <patternFill patternType="lightUp">
        <bgColor rgb="FFB4DCFA"/>
      </patternFill>
    </fill>
    <fill>
      <patternFill patternType="solid">
        <fgColor rgb="FFFFCCCC"/>
        <bgColor indexed="64"/>
      </patternFill>
    </fill>
    <fill>
      <patternFill patternType="solid">
        <fgColor theme="4" tint="-0.499984740745262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5" tint="-0.249977111117893"/>
      </left>
      <right style="thin">
        <color indexed="64"/>
      </right>
      <top style="medium">
        <color theme="5" tint="-0.249977111117893"/>
      </top>
      <bottom style="thin">
        <color indexed="64"/>
      </bottom>
      <diagonal/>
    </border>
    <border>
      <left style="thin">
        <color indexed="64"/>
      </left>
      <right style="medium">
        <color theme="5" tint="-0.249977111117893"/>
      </right>
      <top style="medium">
        <color theme="5" tint="-0.249977111117893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5" tint="-0.24997711111789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5" tint="-0.24997711111789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5" tint="-0.249977111117893"/>
      </bottom>
      <diagonal/>
    </border>
    <border>
      <left style="thin">
        <color indexed="64"/>
      </left>
      <right/>
      <top style="thin">
        <color indexed="64"/>
      </top>
      <bottom style="medium">
        <color theme="5" tint="-0.249977111117893"/>
      </bottom>
      <diagonal/>
    </border>
    <border>
      <left style="medium">
        <color theme="5" tint="-0.249977111117893"/>
      </left>
      <right style="thin">
        <color indexed="64"/>
      </right>
      <top style="thin">
        <color indexed="64"/>
      </top>
      <bottom style="medium">
        <color theme="5" tint="-0.249977111117893"/>
      </bottom>
      <diagonal/>
    </border>
    <border>
      <left style="thin">
        <color indexed="64"/>
      </left>
      <right style="medium">
        <color theme="5" tint="-0.249977111117893"/>
      </right>
      <top style="thin">
        <color indexed="64"/>
      </top>
      <bottom style="medium">
        <color theme="5" tint="-0.249977111117893"/>
      </bottom>
      <diagonal/>
    </border>
    <border>
      <left/>
      <right style="thin">
        <color indexed="64"/>
      </right>
      <top style="thin">
        <color indexed="64"/>
      </top>
      <bottom style="medium">
        <color theme="5" tint="-0.24997711111789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theme="5" tint="-0.24997711111789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5" tint="-0.249977111117893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5"/>
      </bottom>
      <diagonal/>
    </border>
    <border>
      <left style="thin">
        <color indexed="64"/>
      </left>
      <right/>
      <top style="thin">
        <color indexed="64"/>
      </top>
      <bottom style="medium">
        <color theme="5"/>
      </bottom>
      <diagonal/>
    </border>
    <border>
      <left/>
      <right style="thin">
        <color indexed="64"/>
      </right>
      <top style="thin">
        <color indexed="64"/>
      </top>
      <bottom style="medium">
        <color theme="5"/>
      </bottom>
      <diagonal/>
    </border>
    <border>
      <left style="medium">
        <color theme="5"/>
      </left>
      <right style="thin">
        <color indexed="64"/>
      </right>
      <top style="medium">
        <color theme="5"/>
      </top>
      <bottom style="thin">
        <color indexed="64"/>
      </bottom>
      <diagonal/>
    </border>
    <border>
      <left style="thin">
        <color indexed="64"/>
      </left>
      <right style="medium">
        <color theme="5"/>
      </right>
      <top style="medium">
        <color theme="5"/>
      </top>
      <bottom style="thin">
        <color indexed="64"/>
      </bottom>
      <diagonal/>
    </border>
    <border>
      <left style="medium">
        <color theme="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5"/>
      </right>
      <top style="thin">
        <color indexed="64"/>
      </top>
      <bottom style="thin">
        <color indexed="64"/>
      </bottom>
      <diagonal/>
    </border>
    <border>
      <left style="medium">
        <color theme="5"/>
      </left>
      <right style="thin">
        <color indexed="64"/>
      </right>
      <top style="thin">
        <color indexed="64"/>
      </top>
      <bottom style="medium">
        <color theme="5"/>
      </bottom>
      <diagonal/>
    </border>
    <border>
      <left style="thin">
        <color indexed="64"/>
      </left>
      <right style="medium">
        <color theme="5"/>
      </right>
      <top style="thin">
        <color indexed="64"/>
      </top>
      <bottom style="medium">
        <color theme="5"/>
      </bottom>
      <diagonal/>
    </border>
    <border>
      <left style="medium">
        <color theme="5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5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theme="5"/>
      </bottom>
      <diagonal/>
    </border>
    <border>
      <left/>
      <right/>
      <top style="dashed">
        <color theme="5"/>
      </top>
      <bottom style="dashed">
        <color theme="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249977111117893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theme="5"/>
      </left>
      <right/>
      <top style="medium">
        <color theme="5"/>
      </top>
      <bottom style="dashed">
        <color theme="5"/>
      </bottom>
      <diagonal/>
    </border>
    <border>
      <left/>
      <right/>
      <top style="medium">
        <color theme="5"/>
      </top>
      <bottom style="dashed">
        <color theme="5"/>
      </bottom>
      <diagonal/>
    </border>
    <border>
      <left style="medium">
        <color theme="5"/>
      </left>
      <right/>
      <top/>
      <bottom style="dashed">
        <color theme="5"/>
      </bottom>
      <diagonal/>
    </border>
    <border>
      <left style="medium">
        <color theme="5"/>
      </left>
      <right/>
      <top style="dashed">
        <color theme="5"/>
      </top>
      <bottom style="dashed">
        <color theme="5"/>
      </bottom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/>
      <right style="medium">
        <color theme="5"/>
      </right>
      <top style="medium">
        <color theme="5"/>
      </top>
      <bottom style="dashed">
        <color theme="5"/>
      </bottom>
      <diagonal/>
    </border>
    <border>
      <left/>
      <right style="medium">
        <color theme="5"/>
      </right>
      <top/>
      <bottom style="dashed">
        <color theme="5"/>
      </bottom>
      <diagonal/>
    </border>
    <border>
      <left/>
      <right style="medium">
        <color theme="5"/>
      </right>
      <top style="dashed">
        <color theme="5"/>
      </top>
      <bottom style="dashed">
        <color theme="5"/>
      </bottom>
      <diagonal/>
    </border>
    <border>
      <left style="thin">
        <color indexed="64"/>
      </left>
      <right/>
      <top/>
      <bottom/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/>
      <right style="medium">
        <color theme="5"/>
      </right>
      <top style="medium">
        <color theme="5"/>
      </top>
      <bottom style="medium">
        <color theme="5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medium">
        <color theme="5"/>
      </top>
      <bottom style="thin">
        <color indexed="64"/>
      </bottom>
      <diagonal/>
    </border>
    <border>
      <left style="medium">
        <color theme="5" tint="-0.249977111117893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theme="5" tint="-0.249977111117893"/>
      </right>
      <top style="thin">
        <color indexed="64"/>
      </top>
      <bottom/>
      <diagonal/>
    </border>
    <border>
      <left style="thin">
        <color indexed="64"/>
      </left>
      <right/>
      <top style="medium">
        <color theme="5"/>
      </top>
      <bottom style="thin">
        <color indexed="64"/>
      </bottom>
      <diagonal/>
    </border>
    <border>
      <left style="medium">
        <color theme="5" tint="-0.249977111117893"/>
      </left>
      <right style="thin">
        <color indexed="64"/>
      </right>
      <top style="medium">
        <color theme="5"/>
      </top>
      <bottom style="thin">
        <color indexed="64"/>
      </bottom>
      <diagonal/>
    </border>
    <border>
      <left style="thin">
        <color indexed="64"/>
      </left>
      <right style="medium">
        <color theme="5" tint="-0.249977111117893"/>
      </right>
      <top style="medium">
        <color theme="5"/>
      </top>
      <bottom style="thin">
        <color indexed="64"/>
      </bottom>
      <diagonal/>
    </border>
    <border>
      <left/>
      <right style="thin">
        <color indexed="64"/>
      </right>
      <top style="medium">
        <color theme="5"/>
      </top>
      <bottom style="thin">
        <color indexed="64"/>
      </bottom>
      <diagonal/>
    </border>
    <border>
      <left style="thin">
        <color indexed="64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/>
      <right style="thin">
        <color indexed="64"/>
      </right>
      <top style="medium">
        <color theme="5"/>
      </top>
      <bottom/>
      <diagonal/>
    </border>
    <border>
      <left style="thin">
        <color indexed="64"/>
      </left>
      <right/>
      <top/>
      <bottom style="medium">
        <color theme="5"/>
      </bottom>
      <diagonal/>
    </border>
    <border>
      <left/>
      <right style="thin">
        <color indexed="64"/>
      </right>
      <top/>
      <bottom style="medium">
        <color theme="5"/>
      </bottom>
      <diagonal/>
    </border>
    <border>
      <left style="medium">
        <color theme="5"/>
      </left>
      <right style="thin">
        <color indexed="64"/>
      </right>
      <top style="medium">
        <color theme="5"/>
      </top>
      <bottom/>
      <diagonal/>
    </border>
    <border>
      <left style="medium">
        <color theme="5"/>
      </left>
      <right style="thin">
        <color indexed="64"/>
      </right>
      <top/>
      <bottom/>
      <diagonal/>
    </border>
    <border>
      <left style="medium">
        <color theme="5"/>
      </left>
      <right style="thin">
        <color indexed="64"/>
      </right>
      <top/>
      <bottom style="medium">
        <color theme="5"/>
      </bottom>
      <diagonal/>
    </border>
  </borders>
  <cellStyleXfs count="3">
    <xf numFmtId="0" fontId="0" fillId="0" borderId="0"/>
    <xf numFmtId="0" fontId="1" fillId="0" borderId="0" applyNumberFormat="0" applyBorder="0" applyProtection="0"/>
    <xf numFmtId="0" fontId="3" fillId="0" borderId="0">
      <alignment vertical="center" wrapText="1"/>
    </xf>
  </cellStyleXfs>
  <cellXfs count="376">
    <xf numFmtId="0" fontId="0" fillId="0" borderId="0" xfId="0"/>
    <xf numFmtId="49" fontId="2" fillId="0" borderId="0" xfId="1" applyNumberFormat="1" applyFont="1" applyAlignment="1" applyProtection="1">
      <alignment horizontal="left" vertical="center"/>
      <protection locked="0"/>
    </xf>
    <xf numFmtId="0" fontId="3" fillId="0" borderId="0" xfId="2">
      <alignment vertical="center" wrapText="1"/>
    </xf>
    <xf numFmtId="0" fontId="4" fillId="2" borderId="0" xfId="2" applyFont="1" applyFill="1" applyAlignment="1">
      <alignment vertical="center"/>
    </xf>
    <xf numFmtId="0" fontId="3" fillId="2" borderId="0" xfId="2" applyFill="1">
      <alignment vertical="center" wrapText="1"/>
    </xf>
    <xf numFmtId="0" fontId="5" fillId="0" borderId="0" xfId="2" applyFont="1" applyAlignment="1">
      <alignment vertical="center"/>
    </xf>
    <xf numFmtId="0" fontId="4" fillId="0" borderId="1" xfId="2" applyFont="1" applyBorder="1" applyAlignment="1">
      <alignment horizontal="center" vertical="center"/>
    </xf>
    <xf numFmtId="0" fontId="4" fillId="0" borderId="1" xfId="2" quotePrefix="1" applyFont="1" applyBorder="1" applyAlignment="1">
      <alignment horizontal="center" vertical="center"/>
    </xf>
    <xf numFmtId="0" fontId="4" fillId="0" borderId="2" xfId="2" quotePrefix="1" applyFont="1" applyBorder="1" applyAlignment="1">
      <alignment horizontal="center" vertical="center"/>
    </xf>
    <xf numFmtId="0" fontId="4" fillId="0" borderId="3" xfId="2" quotePrefix="1" applyFont="1" applyBorder="1" applyAlignment="1">
      <alignment horizontal="center" vertical="center"/>
    </xf>
    <xf numFmtId="0" fontId="4" fillId="0" borderId="4" xfId="2" quotePrefix="1" applyFont="1" applyBorder="1" applyAlignment="1">
      <alignment horizontal="center" vertical="center"/>
    </xf>
    <xf numFmtId="0" fontId="4" fillId="0" borderId="5" xfId="2" quotePrefix="1" applyFont="1" applyBorder="1" applyAlignment="1">
      <alignment horizontal="center" vertical="center"/>
    </xf>
    <xf numFmtId="0" fontId="3" fillId="3" borderId="1" xfId="2" applyFill="1" applyBorder="1">
      <alignment vertical="center" wrapText="1"/>
    </xf>
    <xf numFmtId="0" fontId="3" fillId="3" borderId="2" xfId="2" applyFill="1" applyBorder="1">
      <alignment vertical="center" wrapText="1"/>
    </xf>
    <xf numFmtId="0" fontId="3" fillId="3" borderId="5" xfId="2" applyFill="1" applyBorder="1">
      <alignment vertical="center" wrapText="1"/>
    </xf>
    <xf numFmtId="0" fontId="4" fillId="4" borderId="1" xfId="2" applyFont="1" applyFill="1" applyBorder="1" applyAlignment="1">
      <alignment horizontal="center" vertical="center"/>
    </xf>
    <xf numFmtId="0" fontId="3" fillId="0" borderId="1" xfId="2" applyBorder="1" applyAlignment="1">
      <alignment horizontal="center" vertical="center" wrapText="1"/>
    </xf>
    <xf numFmtId="0" fontId="3" fillId="0" borderId="2" xfId="2" applyBorder="1" applyAlignment="1">
      <alignment horizontal="center" vertical="center" wrapText="1"/>
    </xf>
    <xf numFmtId="0" fontId="3" fillId="0" borderId="6" xfId="2" applyBorder="1" applyAlignment="1">
      <alignment horizontal="center" vertical="center" wrapText="1"/>
    </xf>
    <xf numFmtId="0" fontId="3" fillId="0" borderId="7" xfId="2" applyBorder="1" applyAlignment="1">
      <alignment horizontal="center" vertical="center" wrapText="1"/>
    </xf>
    <xf numFmtId="0" fontId="3" fillId="0" borderId="5" xfId="2" applyBorder="1" applyAlignment="1">
      <alignment horizontal="center" vertical="center" wrapText="1"/>
    </xf>
    <xf numFmtId="0" fontId="6" fillId="0" borderId="0" xfId="2" applyFont="1">
      <alignment vertical="center" wrapText="1"/>
    </xf>
    <xf numFmtId="0" fontId="4" fillId="4" borderId="8" xfId="2" applyFont="1" applyFill="1" applyBorder="1" applyAlignment="1">
      <alignment horizontal="center" vertical="center"/>
    </xf>
    <xf numFmtId="0" fontId="3" fillId="0" borderId="8" xfId="2" applyBorder="1" applyAlignment="1">
      <alignment horizontal="center" vertical="center" wrapText="1"/>
    </xf>
    <xf numFmtId="0" fontId="3" fillId="0" borderId="9" xfId="2" applyBorder="1" applyAlignment="1">
      <alignment horizontal="center" vertical="center" wrapText="1"/>
    </xf>
    <xf numFmtId="0" fontId="3" fillId="0" borderId="10" xfId="2" applyBorder="1" applyAlignment="1">
      <alignment horizontal="center" vertical="center" wrapText="1"/>
    </xf>
    <xf numFmtId="0" fontId="3" fillId="0" borderId="11" xfId="2" applyBorder="1" applyAlignment="1">
      <alignment horizontal="center" vertical="center" wrapText="1"/>
    </xf>
    <xf numFmtId="0" fontId="3" fillId="0" borderId="12" xfId="2" applyBorder="1" applyAlignment="1">
      <alignment horizontal="center" vertical="center" wrapText="1"/>
    </xf>
    <xf numFmtId="0" fontId="4" fillId="4" borderId="13" xfId="2" applyFont="1" applyFill="1" applyBorder="1" applyAlignment="1">
      <alignment horizontal="center" vertical="center"/>
    </xf>
    <xf numFmtId="0" fontId="3" fillId="0" borderId="13" xfId="2" applyBorder="1" applyAlignment="1">
      <alignment horizontal="center" vertical="center" wrapText="1"/>
    </xf>
    <xf numFmtId="0" fontId="3" fillId="0" borderId="14" xfId="2" applyBorder="1" applyAlignment="1">
      <alignment horizontal="center" vertical="center" wrapText="1"/>
    </xf>
    <xf numFmtId="0" fontId="3" fillId="0" borderId="15" xfId="2" applyBorder="1" applyAlignment="1">
      <alignment horizontal="center" vertical="center" wrapText="1"/>
    </xf>
    <xf numFmtId="0" fontId="3" fillId="0" borderId="16" xfId="2" applyBorder="1" applyAlignment="1">
      <alignment horizontal="center" vertical="center" wrapText="1"/>
    </xf>
    <xf numFmtId="0" fontId="3" fillId="0" borderId="17" xfId="2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4" fillId="4" borderId="2" xfId="2" applyFont="1" applyFill="1" applyBorder="1" applyAlignment="1">
      <alignment horizontal="center" vertical="center"/>
    </xf>
    <xf numFmtId="0" fontId="8" fillId="0" borderId="5" xfId="2" applyFont="1" applyBorder="1" applyAlignment="1">
      <alignment horizontal="center" vertical="center" wrapText="1"/>
    </xf>
    <xf numFmtId="0" fontId="8" fillId="0" borderId="13" xfId="2" applyFont="1" applyBorder="1" applyAlignment="1">
      <alignment horizontal="center" vertical="center" wrapText="1"/>
    </xf>
    <xf numFmtId="0" fontId="4" fillId="4" borderId="18" xfId="2" applyFont="1" applyFill="1" applyBorder="1" applyAlignment="1">
      <alignment horizontal="center" vertical="center"/>
    </xf>
    <xf numFmtId="0" fontId="8" fillId="0" borderId="18" xfId="2" applyFont="1" applyBorder="1" applyAlignment="1">
      <alignment horizontal="center" vertical="center" wrapText="1"/>
    </xf>
    <xf numFmtId="0" fontId="3" fillId="0" borderId="18" xfId="2" applyBorder="1" applyAlignment="1">
      <alignment horizontal="center" vertical="center" wrapText="1"/>
    </xf>
    <xf numFmtId="0" fontId="3" fillId="0" borderId="19" xfId="2" applyBorder="1" applyAlignment="1">
      <alignment horizontal="center" vertical="center" wrapText="1"/>
    </xf>
    <xf numFmtId="0" fontId="3" fillId="0" borderId="20" xfId="2" applyBorder="1" applyAlignment="1">
      <alignment horizontal="center" vertical="center" wrapText="1"/>
    </xf>
    <xf numFmtId="0" fontId="8" fillId="0" borderId="14" xfId="2" applyFont="1" applyBorder="1" applyAlignment="1">
      <alignment horizontal="center" vertical="center" wrapText="1"/>
    </xf>
    <xf numFmtId="0" fontId="8" fillId="0" borderId="19" xfId="2" applyFont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 wrapText="1"/>
    </xf>
    <xf numFmtId="0" fontId="8" fillId="0" borderId="17" xfId="2" applyFont="1" applyBorder="1" applyAlignment="1">
      <alignment horizontal="center" vertical="center" wrapText="1"/>
    </xf>
    <xf numFmtId="0" fontId="8" fillId="0" borderId="20" xfId="2" applyFont="1" applyBorder="1" applyAlignment="1">
      <alignment horizontal="center" vertical="center" wrapText="1"/>
    </xf>
    <xf numFmtId="0" fontId="4" fillId="0" borderId="21" xfId="2" quotePrefix="1" applyFont="1" applyBorder="1" applyAlignment="1">
      <alignment horizontal="center" vertical="center"/>
    </xf>
    <xf numFmtId="0" fontId="4" fillId="0" borderId="22" xfId="2" quotePrefix="1" applyFont="1" applyBorder="1" applyAlignment="1">
      <alignment horizontal="center" vertical="center"/>
    </xf>
    <xf numFmtId="0" fontId="3" fillId="3" borderId="23" xfId="2" applyFill="1" applyBorder="1">
      <alignment vertical="center" wrapText="1"/>
    </xf>
    <xf numFmtId="0" fontId="3" fillId="3" borderId="24" xfId="2" applyFill="1" applyBorder="1">
      <alignment vertical="center" wrapText="1"/>
    </xf>
    <xf numFmtId="0" fontId="3" fillId="0" borderId="23" xfId="2" applyBorder="1" applyAlignment="1">
      <alignment horizontal="center" vertical="center" wrapText="1"/>
    </xf>
    <xf numFmtId="0" fontId="3" fillId="0" borderId="24" xfId="2" applyBorder="1" applyAlignment="1">
      <alignment horizontal="center" vertical="center" wrapText="1"/>
    </xf>
    <xf numFmtId="0" fontId="3" fillId="0" borderId="25" xfId="2" applyBorder="1" applyAlignment="1">
      <alignment horizontal="center" vertical="center" wrapText="1"/>
    </xf>
    <xf numFmtId="0" fontId="3" fillId="0" borderId="26" xfId="2" applyBorder="1" applyAlignment="1">
      <alignment horizontal="center" vertical="center" wrapText="1"/>
    </xf>
    <xf numFmtId="0" fontId="8" fillId="0" borderId="27" xfId="2" applyFont="1" applyBorder="1" applyAlignment="1">
      <alignment horizontal="center" vertical="center" wrapText="1"/>
    </xf>
    <xf numFmtId="0" fontId="8" fillId="0" borderId="28" xfId="2" applyFont="1" applyBorder="1" applyAlignment="1">
      <alignment horizontal="center" vertical="center" wrapText="1"/>
    </xf>
    <xf numFmtId="0" fontId="8" fillId="0" borderId="25" xfId="2" applyFont="1" applyBorder="1" applyAlignment="1">
      <alignment horizontal="center" vertical="center" wrapText="1"/>
    </xf>
    <xf numFmtId="0" fontId="8" fillId="0" borderId="26" xfId="2" applyFont="1" applyBorder="1" applyAlignment="1">
      <alignment horizontal="center" vertical="center" wrapText="1"/>
    </xf>
    <xf numFmtId="0" fontId="8" fillId="0" borderId="23" xfId="2" applyFont="1" applyBorder="1" applyAlignment="1">
      <alignment horizontal="center" vertical="center" wrapText="1"/>
    </xf>
    <xf numFmtId="0" fontId="8" fillId="0" borderId="24" xfId="2" applyFont="1" applyBorder="1" applyAlignment="1">
      <alignment horizontal="center" vertical="center" wrapText="1"/>
    </xf>
    <xf numFmtId="0" fontId="9" fillId="4" borderId="29" xfId="2" applyFont="1" applyFill="1" applyBorder="1">
      <alignment vertical="center" wrapText="1"/>
    </xf>
    <xf numFmtId="0" fontId="9" fillId="4" borderId="30" xfId="2" applyFont="1" applyFill="1" applyBorder="1" applyAlignment="1">
      <alignment vertical="center"/>
    </xf>
    <xf numFmtId="0" fontId="7" fillId="4" borderId="30" xfId="2" applyFont="1" applyFill="1" applyBorder="1">
      <alignment vertical="center" wrapText="1"/>
    </xf>
    <xf numFmtId="10" fontId="9" fillId="4" borderId="31" xfId="2" applyNumberFormat="1" applyFont="1" applyFill="1" applyBorder="1" applyAlignment="1">
      <alignment vertical="center"/>
    </xf>
    <xf numFmtId="0" fontId="9" fillId="4" borderId="2" xfId="2" applyFont="1" applyFill="1" applyBorder="1">
      <alignment vertical="center" wrapText="1"/>
    </xf>
    <xf numFmtId="0" fontId="9" fillId="4" borderId="32" xfId="2" applyFont="1" applyFill="1" applyBorder="1" applyAlignment="1">
      <alignment vertical="center"/>
    </xf>
    <xf numFmtId="0" fontId="7" fillId="4" borderId="32" xfId="2" applyFont="1" applyFill="1" applyBorder="1">
      <alignment vertical="center" wrapText="1"/>
    </xf>
    <xf numFmtId="10" fontId="9" fillId="4" borderId="5" xfId="2" applyNumberFormat="1" applyFont="1" applyFill="1" applyBorder="1" applyAlignment="1">
      <alignment vertical="center"/>
    </xf>
    <xf numFmtId="10" fontId="10" fillId="4" borderId="31" xfId="2" applyNumberFormat="1" applyFont="1" applyFill="1" applyBorder="1" applyAlignment="1">
      <alignment vertical="center"/>
    </xf>
    <xf numFmtId="0" fontId="11" fillId="0" borderId="0" xfId="2" applyFont="1" applyAlignment="1">
      <alignment horizontal="right" vertical="center" wrapText="1"/>
    </xf>
    <xf numFmtId="0" fontId="7" fillId="0" borderId="0" xfId="2" applyFont="1" applyAlignment="1">
      <alignment horizontal="right" vertical="center" wrapText="1"/>
    </xf>
    <xf numFmtId="0" fontId="8" fillId="0" borderId="13" xfId="2" applyFont="1" applyBorder="1" applyAlignment="1">
      <alignment horizontal="center" vertical="center"/>
    </xf>
    <xf numFmtId="0" fontId="13" fillId="0" borderId="0" xfId="2" applyFont="1" applyAlignment="1">
      <alignment horizontal="center" wrapText="1"/>
    </xf>
    <xf numFmtId="49" fontId="14" fillId="0" borderId="0" xfId="1" applyNumberFormat="1" applyFont="1" applyAlignment="1" applyProtection="1">
      <alignment horizontal="left" vertical="center"/>
      <protection locked="0"/>
    </xf>
    <xf numFmtId="0" fontId="15" fillId="0" borderId="0" xfId="2" applyFont="1">
      <alignment vertical="center" wrapText="1"/>
    </xf>
    <xf numFmtId="0" fontId="12" fillId="0" borderId="0" xfId="2" applyFont="1">
      <alignment vertical="center" wrapText="1"/>
    </xf>
    <xf numFmtId="0" fontId="16" fillId="0" borderId="0" xfId="2" applyFont="1">
      <alignment vertical="center" wrapText="1"/>
    </xf>
    <xf numFmtId="0" fontId="17" fillId="0" borderId="0" xfId="2" applyFont="1">
      <alignment vertical="center" wrapText="1"/>
    </xf>
    <xf numFmtId="0" fontId="3" fillId="0" borderId="0" xfId="2" applyAlignment="1">
      <alignment horizontal="center" vertical="center" wrapText="1"/>
    </xf>
    <xf numFmtId="0" fontId="18" fillId="0" borderId="0" xfId="2" applyFont="1">
      <alignment vertical="center" wrapText="1"/>
    </xf>
    <xf numFmtId="0" fontId="18" fillId="0" borderId="0" xfId="2" applyFont="1" applyAlignment="1">
      <alignment horizontal="right" vertical="center" wrapText="1"/>
    </xf>
    <xf numFmtId="0" fontId="4" fillId="5" borderId="0" xfId="2" applyFont="1" applyFill="1" applyAlignment="1">
      <alignment vertical="center"/>
    </xf>
    <xf numFmtId="0" fontId="15" fillId="5" borderId="0" xfId="2" applyFont="1" applyFill="1">
      <alignment vertical="center" wrapText="1"/>
    </xf>
    <xf numFmtId="0" fontId="3" fillId="5" borderId="0" xfId="2" applyFill="1">
      <alignment vertical="center" wrapText="1"/>
    </xf>
    <xf numFmtId="0" fontId="12" fillId="5" borderId="0" xfId="2" applyFont="1" applyFill="1">
      <alignment vertical="center" wrapText="1"/>
    </xf>
    <xf numFmtId="0" fontId="16" fillId="5" borderId="0" xfId="2" applyFont="1" applyFill="1">
      <alignment vertical="center" wrapText="1"/>
    </xf>
    <xf numFmtId="0" fontId="17" fillId="5" borderId="0" xfId="2" applyFont="1" applyFill="1">
      <alignment vertical="center" wrapText="1"/>
    </xf>
    <xf numFmtId="0" fontId="3" fillId="5" borderId="0" xfId="2" applyFill="1" applyAlignment="1">
      <alignment horizontal="center" vertical="center" wrapText="1"/>
    </xf>
    <xf numFmtId="0" fontId="20" fillId="0" borderId="0" xfId="2" applyFont="1" applyAlignment="1">
      <alignment horizontal="center"/>
    </xf>
    <xf numFmtId="0" fontId="21" fillId="6" borderId="2" xfId="2" applyFont="1" applyFill="1" applyBorder="1" applyAlignment="1">
      <alignment vertical="center"/>
    </xf>
    <xf numFmtId="0" fontId="21" fillId="6" borderId="32" xfId="2" applyFont="1" applyFill="1" applyBorder="1" applyAlignment="1">
      <alignment vertical="center"/>
    </xf>
    <xf numFmtId="0" fontId="21" fillId="6" borderId="5" xfId="2" applyFont="1" applyFill="1" applyBorder="1" applyAlignment="1">
      <alignment vertical="center"/>
    </xf>
    <xf numFmtId="0" fontId="21" fillId="6" borderId="32" xfId="2" applyFont="1" applyFill="1" applyBorder="1">
      <alignment vertical="center" wrapText="1"/>
    </xf>
    <xf numFmtId="0" fontId="22" fillId="4" borderId="33" xfId="2" applyFont="1" applyFill="1" applyBorder="1" applyAlignment="1">
      <alignment vertical="center"/>
    </xf>
    <xf numFmtId="0" fontId="21" fillId="6" borderId="1" xfId="2" applyFont="1" applyFill="1" applyBorder="1" applyAlignment="1">
      <alignment horizontal="left" vertical="center"/>
    </xf>
    <xf numFmtId="0" fontId="21" fillId="6" borderId="2" xfId="2" applyFont="1" applyFill="1" applyBorder="1">
      <alignment vertical="center" wrapText="1"/>
    </xf>
    <xf numFmtId="0" fontId="21" fillId="6" borderId="5" xfId="2" applyFont="1" applyFill="1" applyBorder="1">
      <alignment vertical="center" wrapText="1"/>
    </xf>
    <xf numFmtId="0" fontId="22" fillId="6" borderId="34" xfId="2" applyFont="1" applyFill="1" applyBorder="1">
      <alignment vertical="center" wrapText="1"/>
    </xf>
    <xf numFmtId="0" fontId="20" fillId="0" borderId="0" xfId="2" applyFont="1" applyAlignment="1">
      <alignment horizontal="center" vertical="center" textRotation="90" wrapText="1"/>
    </xf>
    <xf numFmtId="0" fontId="23" fillId="7" borderId="1" xfId="2" quotePrefix="1" applyFont="1" applyFill="1" applyBorder="1" applyAlignment="1">
      <alignment horizontal="center" vertical="center" textRotation="90"/>
    </xf>
    <xf numFmtId="0" fontId="23" fillId="7" borderId="1" xfId="2" quotePrefix="1" applyFont="1" applyFill="1" applyBorder="1" applyAlignment="1">
      <alignment horizontal="center" vertical="center" textRotation="90" wrapText="1"/>
    </xf>
    <xf numFmtId="0" fontId="24" fillId="7" borderId="1" xfId="2" applyFont="1" applyFill="1" applyBorder="1" applyAlignment="1">
      <alignment horizontal="center" vertical="center" textRotation="90"/>
    </xf>
    <xf numFmtId="0" fontId="25" fillId="7" borderId="1" xfId="2" applyFont="1" applyFill="1" applyBorder="1" applyAlignment="1">
      <alignment horizontal="center" vertical="center" textRotation="90"/>
    </xf>
    <xf numFmtId="0" fontId="4" fillId="7" borderId="1" xfId="2" applyFont="1" applyFill="1" applyBorder="1" applyAlignment="1">
      <alignment horizontal="center" vertical="center" wrapText="1"/>
    </xf>
    <xf numFmtId="0" fontId="4" fillId="7" borderId="1" xfId="2" applyFont="1" applyFill="1" applyBorder="1" applyAlignment="1">
      <alignment horizontal="center" vertical="center" textRotation="90" wrapText="1"/>
    </xf>
    <xf numFmtId="0" fontId="26" fillId="7" borderId="1" xfId="2" applyFont="1" applyFill="1" applyBorder="1" applyAlignment="1">
      <alignment horizontal="center" vertical="center" wrapText="1"/>
    </xf>
    <xf numFmtId="0" fontId="27" fillId="7" borderId="1" xfId="2" applyFont="1" applyFill="1" applyBorder="1" applyAlignment="1">
      <alignment horizontal="center" vertical="center" textRotation="90" wrapText="1"/>
    </xf>
    <xf numFmtId="0" fontId="28" fillId="8" borderId="13" xfId="2" quotePrefix="1" applyFont="1" applyFill="1" applyBorder="1" applyAlignment="1">
      <alignment horizontal="center" vertical="center" textRotation="90" wrapText="1"/>
    </xf>
    <xf numFmtId="0" fontId="23" fillId="7" borderId="13" xfId="2" applyFont="1" applyFill="1" applyBorder="1" applyAlignment="1">
      <alignment horizontal="center" vertical="center"/>
    </xf>
    <xf numFmtId="0" fontId="23" fillId="7" borderId="13" xfId="2" quotePrefix="1" applyFont="1" applyFill="1" applyBorder="1" applyAlignment="1">
      <alignment horizontal="center" vertical="center" wrapText="1"/>
    </xf>
    <xf numFmtId="0" fontId="4" fillId="7" borderId="14" xfId="2" quotePrefix="1" applyFont="1" applyFill="1" applyBorder="1" applyAlignment="1">
      <alignment horizontal="center" vertical="center" wrapText="1"/>
    </xf>
    <xf numFmtId="0" fontId="24" fillId="4" borderId="13" xfId="2" quotePrefix="1" applyFont="1" applyFill="1" applyBorder="1" applyAlignment="1">
      <alignment horizontal="right" vertical="center" textRotation="90" wrapText="1"/>
    </xf>
    <xf numFmtId="0" fontId="28" fillId="8" borderId="5" xfId="2" quotePrefix="1" applyFont="1" applyFill="1" applyBorder="1" applyAlignment="1">
      <alignment horizontal="center" vertical="center" textRotation="90" wrapText="1"/>
    </xf>
    <xf numFmtId="0" fontId="4" fillId="7" borderId="1" xfId="2" quotePrefix="1" applyFont="1" applyFill="1" applyBorder="1" applyAlignment="1">
      <alignment horizontal="center" vertical="center" wrapText="1"/>
    </xf>
    <xf numFmtId="0" fontId="23" fillId="7" borderId="2" xfId="2" quotePrefix="1" applyFont="1" applyFill="1" applyBorder="1" applyAlignment="1">
      <alignment horizontal="center" vertical="center"/>
    </xf>
    <xf numFmtId="0" fontId="24" fillId="4" borderId="13" xfId="2" quotePrefix="1" applyFont="1" applyFill="1" applyBorder="1" applyAlignment="1">
      <alignment horizontal="center" vertical="center" textRotation="90" wrapText="1"/>
    </xf>
    <xf numFmtId="0" fontId="28" fillId="8" borderId="1" xfId="2" quotePrefix="1" applyFont="1" applyFill="1" applyBorder="1" applyAlignment="1">
      <alignment horizontal="center" vertical="center" textRotation="90" wrapText="1"/>
    </xf>
    <xf numFmtId="0" fontId="28" fillId="9" borderId="1" xfId="2" quotePrefix="1" applyFont="1" applyFill="1" applyBorder="1" applyAlignment="1">
      <alignment horizontal="center" vertical="center" textRotation="90" wrapText="1"/>
    </xf>
    <xf numFmtId="0" fontId="23" fillId="7" borderId="1" xfId="2" quotePrefix="1" applyFont="1" applyFill="1" applyBorder="1" applyAlignment="1">
      <alignment horizontal="center" vertical="center" wrapText="1"/>
    </xf>
    <xf numFmtId="0" fontId="4" fillId="7" borderId="13" xfId="2" quotePrefix="1" applyFont="1" applyFill="1" applyBorder="1" applyAlignment="1">
      <alignment horizontal="center" vertical="center" wrapText="1"/>
    </xf>
    <xf numFmtId="0" fontId="28" fillId="7" borderId="13" xfId="2" quotePrefix="1" applyFont="1" applyFill="1" applyBorder="1" applyAlignment="1">
      <alignment horizontal="center" vertical="center" textRotation="90" wrapText="1"/>
    </xf>
    <xf numFmtId="0" fontId="22" fillId="7" borderId="34" xfId="2" applyFont="1" applyFill="1" applyBorder="1" applyAlignment="1">
      <alignment horizontal="center" vertical="center" wrapText="1"/>
    </xf>
    <xf numFmtId="0" fontId="23" fillId="10" borderId="1" xfId="2" quotePrefix="1" applyFont="1" applyFill="1" applyBorder="1" applyAlignment="1">
      <alignment horizontal="center" vertical="center"/>
    </xf>
    <xf numFmtId="0" fontId="24" fillId="10" borderId="1" xfId="2" applyFont="1" applyFill="1" applyBorder="1" applyAlignment="1">
      <alignment horizontal="center" vertical="center"/>
    </xf>
    <xf numFmtId="0" fontId="23" fillId="10" borderId="1" xfId="2" applyFont="1" applyFill="1" applyBorder="1" applyAlignment="1">
      <alignment horizontal="center" vertical="center"/>
    </xf>
    <xf numFmtId="0" fontId="4" fillId="10" borderId="1" xfId="2" applyFont="1" applyFill="1" applyBorder="1" applyAlignment="1">
      <alignment horizontal="center" vertical="center"/>
    </xf>
    <xf numFmtId="0" fontId="29" fillId="10" borderId="1" xfId="2" applyFont="1" applyFill="1" applyBorder="1" applyAlignment="1">
      <alignment horizontal="center" vertical="center"/>
    </xf>
    <xf numFmtId="0" fontId="30" fillId="10" borderId="1" xfId="2" applyFont="1" applyFill="1" applyBorder="1" applyAlignment="1">
      <alignment horizontal="center" vertical="center"/>
    </xf>
    <xf numFmtId="0" fontId="23" fillId="11" borderId="1" xfId="2" quotePrefix="1" applyFont="1" applyFill="1" applyBorder="1" applyAlignment="1">
      <alignment horizontal="center" vertical="center"/>
    </xf>
    <xf numFmtId="0" fontId="4" fillId="10" borderId="1" xfId="2" quotePrefix="1" applyFont="1" applyFill="1" applyBorder="1" applyAlignment="1">
      <alignment horizontal="center" vertical="center"/>
    </xf>
    <xf numFmtId="0" fontId="23" fillId="0" borderId="1" xfId="2" quotePrefix="1" applyFont="1" applyBorder="1" applyAlignment="1">
      <alignment horizontal="center" vertical="center"/>
    </xf>
    <xf numFmtId="0" fontId="24" fillId="0" borderId="1" xfId="2" applyFont="1" applyBorder="1" applyAlignment="1">
      <alignment horizontal="center" vertical="center"/>
    </xf>
    <xf numFmtId="164" fontId="23" fillId="0" borderId="1" xfId="2" quotePrefix="1" applyNumberFormat="1" applyFont="1" applyBorder="1" applyAlignment="1">
      <alignment horizontal="center" vertical="center"/>
    </xf>
    <xf numFmtId="164" fontId="4" fillId="0" borderId="1" xfId="2" quotePrefix="1" applyNumberFormat="1" applyFont="1" applyBorder="1" applyAlignment="1">
      <alignment horizontal="center" vertical="center"/>
    </xf>
    <xf numFmtId="164" fontId="29" fillId="0" borderId="1" xfId="2" quotePrefix="1" applyNumberFormat="1" applyFont="1" applyBorder="1" applyAlignment="1">
      <alignment horizontal="center" vertical="center"/>
    </xf>
    <xf numFmtId="164" fontId="30" fillId="0" borderId="1" xfId="2" quotePrefix="1" applyNumberFormat="1" applyFont="1" applyBorder="1" applyAlignment="1">
      <alignment horizontal="center" vertical="center"/>
    </xf>
    <xf numFmtId="0" fontId="23" fillId="0" borderId="1" xfId="2" applyFont="1" applyBorder="1" applyAlignment="1">
      <alignment horizontal="center" vertical="center"/>
    </xf>
    <xf numFmtId="14" fontId="23" fillId="0" borderId="1" xfId="2" applyNumberFormat="1" applyFont="1" applyBorder="1" applyAlignment="1">
      <alignment horizontal="center" vertical="center"/>
    </xf>
    <xf numFmtId="0" fontId="31" fillId="0" borderId="1" xfId="2" quotePrefix="1" applyFont="1" applyBorder="1" applyAlignment="1">
      <alignment horizontal="center" vertical="center"/>
    </xf>
    <xf numFmtId="0" fontId="23" fillId="4" borderId="1" xfId="2" applyFont="1" applyFill="1" applyBorder="1" applyAlignment="1">
      <alignment horizontal="center" vertical="center"/>
    </xf>
    <xf numFmtId="0" fontId="32" fillId="0" borderId="1" xfId="2" applyFont="1" applyBorder="1" applyAlignment="1">
      <alignment horizontal="center" vertical="center"/>
    </xf>
    <xf numFmtId="0" fontId="30" fillId="0" borderId="1" xfId="2" applyFont="1" applyBorder="1" applyAlignment="1">
      <alignment horizontal="center" vertical="center"/>
    </xf>
    <xf numFmtId="164" fontId="24" fillId="0" borderId="1" xfId="2" quotePrefix="1" applyNumberFormat="1" applyFont="1" applyBorder="1" applyAlignment="1">
      <alignment horizontal="center" vertical="center"/>
    </xf>
    <xf numFmtId="1" fontId="4" fillId="0" borderId="1" xfId="2" quotePrefix="1" applyNumberFormat="1" applyFont="1" applyBorder="1" applyAlignment="1">
      <alignment horizontal="center" vertical="center"/>
    </xf>
    <xf numFmtId="164" fontId="29" fillId="0" borderId="1" xfId="2" quotePrefix="1" applyNumberFormat="1" applyFont="1" applyBorder="1" applyAlignment="1">
      <alignment horizontal="center" vertical="center" wrapText="1"/>
    </xf>
    <xf numFmtId="166" fontId="4" fillId="0" borderId="1" xfId="2" quotePrefix="1" applyNumberFormat="1" applyFont="1" applyBorder="1" applyAlignment="1">
      <alignment horizontal="center" vertical="center"/>
    </xf>
    <xf numFmtId="166" fontId="23" fillId="0" borderId="1" xfId="2" quotePrefix="1" applyNumberFormat="1" applyFont="1" applyBorder="1" applyAlignment="1">
      <alignment horizontal="center" vertical="center"/>
    </xf>
    <xf numFmtId="165" fontId="23" fillId="0" borderId="1" xfId="2" quotePrefix="1" applyNumberFormat="1" applyFont="1" applyBorder="1" applyAlignment="1">
      <alignment horizontal="center" vertical="center"/>
    </xf>
    <xf numFmtId="0" fontId="27" fillId="0" borderId="1" xfId="2" applyFont="1" applyBorder="1" applyAlignment="1">
      <alignment horizontal="center" vertical="center"/>
    </xf>
    <xf numFmtId="0" fontId="3" fillId="0" borderId="1" xfId="2" applyBorder="1">
      <alignment vertical="center" wrapText="1"/>
    </xf>
    <xf numFmtId="0" fontId="34" fillId="0" borderId="0" xfId="2" applyFont="1" applyAlignment="1">
      <alignment horizontal="left" vertical="center" wrapText="1"/>
    </xf>
    <xf numFmtId="0" fontId="35" fillId="0" borderId="0" xfId="0" applyFont="1" applyAlignment="1">
      <alignment vertical="center"/>
    </xf>
    <xf numFmtId="0" fontId="33" fillId="12" borderId="1" xfId="2" applyFont="1" applyFill="1" applyBorder="1" applyAlignment="1">
      <alignment horizontal="center" vertical="center"/>
    </xf>
    <xf numFmtId="0" fontId="37" fillId="0" borderId="0" xfId="0" applyFont="1"/>
    <xf numFmtId="0" fontId="39" fillId="0" borderId="0" xfId="0" applyFont="1"/>
    <xf numFmtId="0" fontId="40" fillId="0" borderId="0" xfId="0" applyFont="1" applyAlignment="1">
      <alignment horizontal="right" vertical="top"/>
    </xf>
    <xf numFmtId="0" fontId="41" fillId="4" borderId="35" xfId="0" applyFont="1" applyFill="1" applyBorder="1" applyAlignment="1">
      <alignment horizontal="left" vertical="center"/>
    </xf>
    <xf numFmtId="0" fontId="36" fillId="0" borderId="0" xfId="0" applyFont="1"/>
    <xf numFmtId="0" fontId="0" fillId="0" borderId="0" xfId="0" applyAlignment="1">
      <alignment horizontal="center"/>
    </xf>
    <xf numFmtId="0" fontId="42" fillId="0" borderId="0" xfId="0" applyFont="1" applyAlignment="1">
      <alignment horizontal="left"/>
    </xf>
    <xf numFmtId="0" fontId="43" fillId="0" borderId="0" xfId="0" applyFont="1" applyAlignment="1">
      <alignment horizontal="right"/>
    </xf>
    <xf numFmtId="9" fontId="0" fillId="0" borderId="0" xfId="0" applyNumberFormat="1"/>
    <xf numFmtId="0" fontId="0" fillId="0" borderId="0" xfId="0" applyAlignment="1">
      <alignment horizontal="left"/>
    </xf>
    <xf numFmtId="0" fontId="46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36" fillId="0" borderId="0" xfId="0" applyFont="1" applyAlignment="1">
      <alignment horizontal="right"/>
    </xf>
    <xf numFmtId="0" fontId="47" fillId="4" borderId="0" xfId="0" applyFont="1" applyFill="1" applyAlignment="1">
      <alignment horizontal="right" vertical="center" wrapText="1"/>
    </xf>
    <xf numFmtId="0" fontId="47" fillId="4" borderId="0" xfId="0" applyFont="1" applyFill="1" applyAlignment="1">
      <alignment horizontal="center" vertical="center" wrapText="1"/>
    </xf>
    <xf numFmtId="0" fontId="47" fillId="4" borderId="0" xfId="0" applyFont="1" applyFill="1" applyAlignment="1">
      <alignment horizontal="right" vertical="center"/>
    </xf>
    <xf numFmtId="0" fontId="47" fillId="4" borderId="0" xfId="0" applyFont="1" applyFill="1" applyAlignment="1">
      <alignment horizontal="center" vertical="center"/>
    </xf>
    <xf numFmtId="0" fontId="48" fillId="4" borderId="0" xfId="0" applyFont="1" applyFill="1" applyAlignment="1">
      <alignment horizontal="left" vertical="center"/>
    </xf>
    <xf numFmtId="0" fontId="49" fillId="4" borderId="0" xfId="0" applyFont="1" applyFill="1" applyAlignment="1">
      <alignment horizontal="left" vertical="center"/>
    </xf>
    <xf numFmtId="0" fontId="47" fillId="4" borderId="0" xfId="0" applyFont="1" applyFill="1" applyAlignment="1">
      <alignment horizontal="left" vertical="center"/>
    </xf>
    <xf numFmtId="0" fontId="47" fillId="0" borderId="0" xfId="0" applyFont="1"/>
    <xf numFmtId="0" fontId="50" fillId="4" borderId="0" xfId="0" applyFont="1" applyFill="1" applyAlignment="1">
      <alignment horizontal="left" vertical="center"/>
    </xf>
    <xf numFmtId="0" fontId="47" fillId="4" borderId="0" xfId="0" applyFont="1" applyFill="1" applyAlignment="1">
      <alignment horizontal="right"/>
    </xf>
    <xf numFmtId="0" fontId="0" fillId="4" borderId="0" xfId="0" applyFill="1" applyAlignment="1">
      <alignment horizontal="right"/>
    </xf>
    <xf numFmtId="0" fontId="51" fillId="0" borderId="0" xfId="0" applyFont="1" applyAlignment="1">
      <alignment horizontal="center" vertical="center"/>
    </xf>
    <xf numFmtId="0" fontId="51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167" fontId="47" fillId="4" borderId="0" xfId="0" applyNumberFormat="1" applyFont="1" applyFill="1" applyAlignment="1">
      <alignment horizontal="center" vertical="center"/>
    </xf>
    <xf numFmtId="167" fontId="47" fillId="4" borderId="0" xfId="0" applyNumberFormat="1" applyFont="1" applyFill="1" applyAlignment="1">
      <alignment horizontal="center"/>
    </xf>
    <xf numFmtId="167" fontId="0" fillId="4" borderId="0" xfId="0" applyNumberFormat="1" applyFill="1" applyAlignment="1">
      <alignment horizontal="center"/>
    </xf>
    <xf numFmtId="168" fontId="47" fillId="4" borderId="0" xfId="0" applyNumberFormat="1" applyFont="1" applyFill="1" applyAlignment="1">
      <alignment horizontal="center" vertical="center"/>
    </xf>
    <xf numFmtId="168" fontId="47" fillId="4" borderId="0" xfId="0" applyNumberFormat="1" applyFont="1" applyFill="1" applyAlignment="1">
      <alignment horizontal="center"/>
    </xf>
    <xf numFmtId="168" fontId="0" fillId="4" borderId="0" xfId="0" applyNumberFormat="1" applyFill="1" applyAlignment="1">
      <alignment horizontal="center"/>
    </xf>
    <xf numFmtId="169" fontId="0" fillId="4" borderId="0" xfId="0" applyNumberFormat="1" applyFill="1" applyAlignment="1">
      <alignment horizontal="left" vertical="center"/>
    </xf>
    <xf numFmtId="169" fontId="0" fillId="4" borderId="0" xfId="0" applyNumberFormat="1" applyFill="1" applyAlignment="1">
      <alignment horizontal="left"/>
    </xf>
    <xf numFmtId="0" fontId="52" fillId="0" borderId="0" xfId="0" applyFont="1" applyAlignment="1">
      <alignment vertical="center"/>
    </xf>
    <xf numFmtId="0" fontId="52" fillId="0" borderId="0" xfId="0" applyFont="1"/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/>
    </xf>
    <xf numFmtId="0" fontId="51" fillId="0" borderId="0" xfId="0" applyFont="1" applyAlignment="1">
      <alignment horizontal="right"/>
    </xf>
    <xf numFmtId="0" fontId="47" fillId="0" borderId="0" xfId="0" applyFont="1" applyAlignment="1">
      <alignment vertical="center"/>
    </xf>
    <xf numFmtId="167" fontId="53" fillId="4" borderId="0" xfId="0" applyNumberFormat="1" applyFont="1" applyFill="1" applyAlignment="1">
      <alignment horizontal="left" vertical="center"/>
    </xf>
    <xf numFmtId="0" fontId="53" fillId="0" borderId="0" xfId="0" applyFont="1" applyAlignment="1">
      <alignment vertical="center"/>
    </xf>
    <xf numFmtId="0" fontId="53" fillId="0" borderId="0" xfId="0" applyFont="1"/>
    <xf numFmtId="0" fontId="53" fillId="0" borderId="0" xfId="0" applyFont="1" applyAlignment="1">
      <alignment horizontal="left"/>
    </xf>
    <xf numFmtId="0" fontId="54" fillId="4" borderId="35" xfId="0" applyFont="1" applyFill="1" applyBorder="1" applyAlignment="1">
      <alignment horizontal="left" vertical="center"/>
    </xf>
    <xf numFmtId="0" fontId="44" fillId="0" borderId="0" xfId="0" applyFont="1" applyAlignment="1">
      <alignment horizontal="left"/>
    </xf>
    <xf numFmtId="0" fontId="44" fillId="0" borderId="0" xfId="0" applyFont="1" applyAlignment="1">
      <alignment horizontal="left" vertical="top"/>
    </xf>
    <xf numFmtId="0" fontId="44" fillId="0" borderId="0" xfId="0" applyFont="1" applyAlignment="1">
      <alignment vertical="top"/>
    </xf>
    <xf numFmtId="0" fontId="55" fillId="4" borderId="35" xfId="0" applyFont="1" applyFill="1" applyBorder="1" applyAlignment="1">
      <alignment horizontal="left" vertical="center"/>
    </xf>
    <xf numFmtId="0" fontId="56" fillId="0" borderId="37" xfId="0" applyFont="1" applyBorder="1" applyAlignment="1">
      <alignment horizontal="center" vertical="center"/>
    </xf>
    <xf numFmtId="167" fontId="57" fillId="4" borderId="37" xfId="0" applyNumberFormat="1" applyFont="1" applyFill="1" applyBorder="1" applyAlignment="1">
      <alignment horizontal="center" vertical="center"/>
    </xf>
    <xf numFmtId="168" fontId="57" fillId="4" borderId="37" xfId="0" applyNumberFormat="1" applyFont="1" applyFill="1" applyBorder="1" applyAlignment="1">
      <alignment horizontal="center" vertical="center"/>
    </xf>
    <xf numFmtId="0" fontId="56" fillId="0" borderId="37" xfId="0" applyFont="1" applyBorder="1" applyAlignment="1">
      <alignment horizontal="left" vertical="center"/>
    </xf>
    <xf numFmtId="0" fontId="51" fillId="0" borderId="0" xfId="0" applyFont="1" applyAlignment="1">
      <alignment horizontal="right" vertical="center"/>
    </xf>
    <xf numFmtId="0" fontId="57" fillId="4" borderId="37" xfId="0" applyFont="1" applyFill="1" applyBorder="1" applyAlignment="1">
      <alignment horizontal="right" vertical="center"/>
    </xf>
    <xf numFmtId="0" fontId="56" fillId="0" borderId="37" xfId="0" applyFont="1" applyBorder="1" applyAlignment="1">
      <alignment horizontal="right" vertical="center"/>
    </xf>
    <xf numFmtId="0" fontId="57" fillId="0" borderId="37" xfId="0" applyFont="1" applyBorder="1" applyAlignment="1">
      <alignment vertical="center"/>
    </xf>
    <xf numFmtId="0" fontId="58" fillId="0" borderId="37" xfId="0" applyFont="1" applyBorder="1" applyAlignment="1">
      <alignment vertical="center"/>
    </xf>
    <xf numFmtId="0" fontId="53" fillId="0" borderId="37" xfId="0" applyFont="1" applyBorder="1" applyAlignment="1">
      <alignment vertical="center"/>
    </xf>
    <xf numFmtId="0" fontId="56" fillId="0" borderId="38" xfId="0" applyFont="1" applyBorder="1" applyAlignment="1">
      <alignment horizontal="center" vertical="center"/>
    </xf>
    <xf numFmtId="0" fontId="57" fillId="4" borderId="38" xfId="0" applyFont="1" applyFill="1" applyBorder="1" applyAlignment="1">
      <alignment horizontal="right" vertical="center"/>
    </xf>
    <xf numFmtId="167" fontId="57" fillId="4" borderId="38" xfId="0" applyNumberFormat="1" applyFont="1" applyFill="1" applyBorder="1" applyAlignment="1">
      <alignment horizontal="center" vertical="center"/>
    </xf>
    <xf numFmtId="168" fontId="57" fillId="4" borderId="38" xfId="0" applyNumberFormat="1" applyFont="1" applyFill="1" applyBorder="1" applyAlignment="1">
      <alignment horizontal="center" vertical="center"/>
    </xf>
    <xf numFmtId="0" fontId="56" fillId="0" borderId="38" xfId="0" applyFont="1" applyBorder="1" applyAlignment="1">
      <alignment horizontal="left" vertical="center"/>
    </xf>
    <xf numFmtId="0" fontId="56" fillId="0" borderId="38" xfId="0" applyFont="1" applyBorder="1" applyAlignment="1">
      <alignment horizontal="right" vertical="center"/>
    </xf>
    <xf numFmtId="0" fontId="57" fillId="0" borderId="38" xfId="0" applyFont="1" applyBorder="1" applyAlignment="1">
      <alignment vertical="center"/>
    </xf>
    <xf numFmtId="0" fontId="58" fillId="0" borderId="38" xfId="0" applyFont="1" applyBorder="1" applyAlignment="1">
      <alignment vertical="center"/>
    </xf>
    <xf numFmtId="0" fontId="53" fillId="0" borderId="38" xfId="0" applyFont="1" applyBorder="1" applyAlignment="1">
      <alignment vertical="center"/>
    </xf>
    <xf numFmtId="0" fontId="3" fillId="0" borderId="0" xfId="2" applyAlignment="1">
      <alignment vertical="center"/>
    </xf>
    <xf numFmtId="169" fontId="48" fillId="4" borderId="37" xfId="0" applyNumberFormat="1" applyFont="1" applyFill="1" applyBorder="1" applyAlignment="1">
      <alignment horizontal="left" vertical="center"/>
    </xf>
    <xf numFmtId="169" fontId="48" fillId="4" borderId="38" xfId="0" applyNumberFormat="1" applyFont="1" applyFill="1" applyBorder="1" applyAlignment="1">
      <alignment horizontal="left" vertical="center"/>
    </xf>
    <xf numFmtId="0" fontId="59" fillId="12" borderId="1" xfId="2" applyFont="1" applyFill="1" applyBorder="1" applyAlignment="1">
      <alignment horizontal="center" vertical="center"/>
    </xf>
    <xf numFmtId="49" fontId="60" fillId="0" borderId="0" xfId="1" applyNumberFormat="1" applyFont="1" applyAlignment="1" applyProtection="1">
      <alignment horizontal="left" vertical="center"/>
      <protection locked="0"/>
    </xf>
    <xf numFmtId="0" fontId="61" fillId="2" borderId="0" xfId="2" applyFont="1" applyFill="1" applyAlignment="1">
      <alignment vertical="center"/>
    </xf>
    <xf numFmtId="0" fontId="62" fillId="0" borderId="0" xfId="2" applyFont="1">
      <alignment vertical="center" wrapText="1"/>
    </xf>
    <xf numFmtId="0" fontId="63" fillId="0" borderId="1" xfId="2" quotePrefix="1" applyFont="1" applyBorder="1" applyAlignment="1">
      <alignment horizontal="center" vertical="center"/>
    </xf>
    <xf numFmtId="0" fontId="7" fillId="0" borderId="0" xfId="2" applyFont="1">
      <alignment vertical="center" wrapText="1"/>
    </xf>
    <xf numFmtId="0" fontId="65" fillId="0" borderId="0" xfId="2" applyFont="1">
      <alignment vertical="center" wrapText="1"/>
    </xf>
    <xf numFmtId="0" fontId="3" fillId="2" borderId="0" xfId="2" applyFill="1" applyAlignment="1">
      <alignment vertical="center"/>
    </xf>
    <xf numFmtId="0" fontId="62" fillId="0" borderId="0" xfId="2" applyFont="1" applyAlignment="1">
      <alignment vertical="center"/>
    </xf>
    <xf numFmtId="0" fontId="67" fillId="0" borderId="0" xfId="2" applyFont="1" applyAlignment="1">
      <alignment vertical="center"/>
    </xf>
    <xf numFmtId="0" fontId="3" fillId="3" borderId="1" xfId="2" applyFill="1" applyBorder="1" applyAlignment="1">
      <alignment horizontal="center" vertical="center"/>
    </xf>
    <xf numFmtId="0" fontId="3" fillId="4" borderId="45" xfId="2" applyFill="1" applyBorder="1" applyAlignment="1">
      <alignment horizontal="center" vertical="center"/>
    </xf>
    <xf numFmtId="0" fontId="68" fillId="4" borderId="46" xfId="2" applyFont="1" applyFill="1" applyBorder="1" applyAlignment="1">
      <alignment horizontal="center" vertical="center"/>
    </xf>
    <xf numFmtId="0" fontId="69" fillId="4" borderId="39" xfId="2" applyFont="1" applyFill="1" applyBorder="1" applyAlignment="1">
      <alignment horizontal="center" vertical="center"/>
    </xf>
    <xf numFmtId="0" fontId="3" fillId="3" borderId="47" xfId="2" applyFill="1" applyBorder="1" applyAlignment="1">
      <alignment vertical="center"/>
    </xf>
    <xf numFmtId="0" fontId="64" fillId="0" borderId="1" xfId="2" applyFont="1" applyBorder="1" applyAlignment="1">
      <alignment horizontal="center" vertical="center"/>
    </xf>
    <xf numFmtId="0" fontId="70" fillId="0" borderId="0" xfId="0" applyFont="1"/>
    <xf numFmtId="0" fontId="64" fillId="4" borderId="39" xfId="2" applyFont="1" applyFill="1" applyBorder="1" applyAlignment="1">
      <alignment horizontal="center" vertical="center"/>
    </xf>
    <xf numFmtId="0" fontId="64" fillId="4" borderId="40" xfId="2" applyFont="1" applyFill="1" applyBorder="1" applyAlignment="1">
      <alignment horizontal="center" vertical="center"/>
    </xf>
    <xf numFmtId="0" fontId="64" fillId="4" borderId="41" xfId="2" applyFont="1" applyFill="1" applyBorder="1" applyAlignment="1">
      <alignment horizontal="center" vertical="center"/>
    </xf>
    <xf numFmtId="0" fontId="64" fillId="4" borderId="42" xfId="2" applyFont="1" applyFill="1" applyBorder="1" applyAlignment="1">
      <alignment horizontal="center" vertical="center"/>
    </xf>
    <xf numFmtId="0" fontId="64" fillId="4" borderId="43" xfId="2" applyFont="1" applyFill="1" applyBorder="1" applyAlignment="1">
      <alignment horizontal="center" vertical="center"/>
    </xf>
    <xf numFmtId="0" fontId="64" fillId="4" borderId="44" xfId="2" applyFont="1" applyFill="1" applyBorder="1" applyAlignment="1">
      <alignment horizontal="center" vertical="center"/>
    </xf>
    <xf numFmtId="0" fontId="64" fillId="4" borderId="39" xfId="2" applyFont="1" applyFill="1" applyBorder="1" applyAlignment="1">
      <alignment horizontal="center"/>
    </xf>
    <xf numFmtId="0" fontId="57" fillId="2" borderId="0" xfId="2" applyFont="1" applyFill="1" applyAlignment="1">
      <alignment vertical="center"/>
    </xf>
    <xf numFmtId="1" fontId="43" fillId="0" borderId="0" xfId="0" applyNumberFormat="1" applyFont="1" applyAlignment="1">
      <alignment horizontal="right"/>
    </xf>
    <xf numFmtId="1" fontId="36" fillId="0" borderId="0" xfId="0" applyNumberFormat="1" applyFont="1" applyAlignment="1">
      <alignment horizontal="right"/>
    </xf>
    <xf numFmtId="0" fontId="71" fillId="0" borderId="37" xfId="0" applyFont="1" applyBorder="1" applyAlignment="1">
      <alignment vertical="center"/>
    </xf>
    <xf numFmtId="0" fontId="71" fillId="0" borderId="38" xfId="0" applyFont="1" applyBorder="1" applyAlignment="1">
      <alignment vertical="center"/>
    </xf>
    <xf numFmtId="0" fontId="71" fillId="0" borderId="0" xfId="0" applyFont="1" applyAlignment="1">
      <alignment vertical="center"/>
    </xf>
    <xf numFmtId="0" fontId="71" fillId="0" borderId="0" xfId="0" applyFont="1"/>
    <xf numFmtId="0" fontId="41" fillId="4" borderId="0" xfId="0" applyFont="1" applyFill="1" applyAlignment="1">
      <alignment horizontal="left" vertical="center"/>
    </xf>
    <xf numFmtId="0" fontId="54" fillId="4" borderId="0" xfId="0" applyFont="1" applyFill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55" fillId="4" borderId="0" xfId="0" applyFont="1" applyFill="1" applyAlignment="1">
      <alignment horizontal="left" vertical="center"/>
    </xf>
    <xf numFmtId="0" fontId="72" fillId="4" borderId="35" xfId="0" applyFont="1" applyFill="1" applyBorder="1" applyAlignment="1">
      <alignment horizontal="left" vertical="center"/>
    </xf>
    <xf numFmtId="167" fontId="48" fillId="4" borderId="48" xfId="0" applyNumberFormat="1" applyFont="1" applyFill="1" applyBorder="1" applyAlignment="1">
      <alignment horizontal="right" vertical="center"/>
    </xf>
    <xf numFmtId="167" fontId="56" fillId="4" borderId="49" xfId="0" applyNumberFormat="1" applyFont="1" applyFill="1" applyBorder="1" applyAlignment="1">
      <alignment horizontal="center" vertical="center"/>
    </xf>
    <xf numFmtId="167" fontId="57" fillId="4" borderId="49" xfId="0" applyNumberFormat="1" applyFont="1" applyFill="1" applyBorder="1" applyAlignment="1">
      <alignment horizontal="right" vertical="center"/>
    </xf>
    <xf numFmtId="167" fontId="57" fillId="4" borderId="49" xfId="0" applyNumberFormat="1" applyFont="1" applyFill="1" applyBorder="1" applyAlignment="1">
      <alignment horizontal="center" vertical="center"/>
    </xf>
    <xf numFmtId="168" fontId="57" fillId="4" borderId="49" xfId="0" applyNumberFormat="1" applyFont="1" applyFill="1" applyBorder="1" applyAlignment="1">
      <alignment horizontal="center" vertical="center"/>
    </xf>
    <xf numFmtId="169" fontId="48" fillId="4" borderId="49" xfId="0" applyNumberFormat="1" applyFont="1" applyFill="1" applyBorder="1" applyAlignment="1">
      <alignment horizontal="left" vertical="center"/>
    </xf>
    <xf numFmtId="0" fontId="71" fillId="0" borderId="49" xfId="0" applyFont="1" applyBorder="1" applyAlignment="1">
      <alignment vertical="center"/>
    </xf>
    <xf numFmtId="167" fontId="56" fillId="4" borderId="49" xfId="0" applyNumberFormat="1" applyFont="1" applyFill="1" applyBorder="1" applyAlignment="1">
      <alignment horizontal="left" vertical="center"/>
    </xf>
    <xf numFmtId="167" fontId="56" fillId="4" borderId="49" xfId="0" applyNumberFormat="1" applyFont="1" applyFill="1" applyBorder="1" applyAlignment="1">
      <alignment horizontal="right" vertical="center"/>
    </xf>
    <xf numFmtId="0" fontId="57" fillId="0" borderId="49" xfId="0" applyFont="1" applyBorder="1" applyAlignment="1">
      <alignment vertical="center"/>
    </xf>
    <xf numFmtId="167" fontId="58" fillId="4" borderId="49" xfId="0" applyNumberFormat="1" applyFont="1" applyFill="1" applyBorder="1" applyAlignment="1">
      <alignment horizontal="left" vertical="center"/>
    </xf>
    <xf numFmtId="0" fontId="53" fillId="0" borderId="49" xfId="0" applyFont="1" applyBorder="1" applyAlignment="1">
      <alignment vertical="center"/>
    </xf>
    <xf numFmtId="0" fontId="48" fillId="4" borderId="50" xfId="0" applyFont="1" applyFill="1" applyBorder="1" applyAlignment="1">
      <alignment horizontal="right" vertical="center"/>
    </xf>
    <xf numFmtId="0" fontId="48" fillId="4" borderId="51" xfId="0" applyFont="1" applyFill="1" applyBorder="1" applyAlignment="1">
      <alignment horizontal="right" vertical="center"/>
    </xf>
    <xf numFmtId="0" fontId="48" fillId="4" borderId="52" xfId="0" applyFont="1" applyFill="1" applyBorder="1" applyAlignment="1">
      <alignment horizontal="right" vertical="center"/>
    </xf>
    <xf numFmtId="0" fontId="56" fillId="0" borderId="53" xfId="0" applyFont="1" applyBorder="1" applyAlignment="1">
      <alignment horizontal="center" vertical="center"/>
    </xf>
    <xf numFmtId="0" fontId="57" fillId="4" borderId="53" xfId="0" applyFont="1" applyFill="1" applyBorder="1" applyAlignment="1">
      <alignment horizontal="right" vertical="center"/>
    </xf>
    <xf numFmtId="167" fontId="57" fillId="4" borderId="53" xfId="0" applyNumberFormat="1" applyFont="1" applyFill="1" applyBorder="1" applyAlignment="1">
      <alignment horizontal="center" vertical="center"/>
    </xf>
    <xf numFmtId="168" fontId="57" fillId="4" borderId="53" xfId="0" applyNumberFormat="1" applyFont="1" applyFill="1" applyBorder="1" applyAlignment="1">
      <alignment horizontal="center" vertical="center"/>
    </xf>
    <xf numFmtId="169" fontId="48" fillId="4" borderId="53" xfId="0" applyNumberFormat="1" applyFont="1" applyFill="1" applyBorder="1" applyAlignment="1">
      <alignment horizontal="left" vertical="center"/>
    </xf>
    <xf numFmtId="0" fontId="71" fillId="0" borderId="53" xfId="0" applyFont="1" applyBorder="1" applyAlignment="1">
      <alignment vertical="center"/>
    </xf>
    <xf numFmtId="0" fontId="56" fillId="0" borderId="53" xfId="0" applyFont="1" applyBorder="1" applyAlignment="1">
      <alignment horizontal="left" vertical="center"/>
    </xf>
    <xf numFmtId="0" fontId="56" fillId="0" borderId="53" xfId="0" applyFont="1" applyBorder="1" applyAlignment="1">
      <alignment horizontal="right" vertical="center"/>
    </xf>
    <xf numFmtId="0" fontId="57" fillId="0" borderId="53" xfId="0" applyFont="1" applyBorder="1" applyAlignment="1">
      <alignment vertical="center"/>
    </xf>
    <xf numFmtId="0" fontId="58" fillId="0" borderId="53" xfId="0" applyFont="1" applyBorder="1" applyAlignment="1">
      <alignment vertical="center"/>
    </xf>
    <xf numFmtId="0" fontId="53" fillId="0" borderId="53" xfId="0" applyFont="1" applyBorder="1" applyAlignment="1">
      <alignment vertical="center"/>
    </xf>
    <xf numFmtId="0" fontId="53" fillId="0" borderId="54" xfId="0" applyFont="1" applyBorder="1"/>
    <xf numFmtId="0" fontId="73" fillId="4" borderId="0" xfId="0" applyFont="1" applyFill="1" applyAlignment="1">
      <alignment horizontal="left" vertical="center" wrapText="1"/>
    </xf>
    <xf numFmtId="0" fontId="53" fillId="0" borderId="55" xfId="0" applyFont="1" applyBorder="1" applyAlignment="1">
      <alignment vertical="center"/>
    </xf>
    <xf numFmtId="0" fontId="53" fillId="0" borderId="56" xfId="0" applyFont="1" applyBorder="1" applyAlignment="1">
      <alignment vertical="center"/>
    </xf>
    <xf numFmtId="0" fontId="53" fillId="0" borderId="57" xfId="0" applyFont="1" applyBorder="1" applyAlignment="1">
      <alignment vertical="center"/>
    </xf>
    <xf numFmtId="0" fontId="74" fillId="0" borderId="0" xfId="2" quotePrefix="1" applyFont="1" applyAlignment="1">
      <alignment vertical="center"/>
    </xf>
    <xf numFmtId="0" fontId="75" fillId="4" borderId="2" xfId="2" quotePrefix="1" applyFont="1" applyFill="1" applyBorder="1" applyAlignment="1">
      <alignment horizontal="left" vertical="center"/>
    </xf>
    <xf numFmtId="0" fontId="75" fillId="4" borderId="32" xfId="2" quotePrefix="1" applyFont="1" applyFill="1" applyBorder="1" applyAlignment="1">
      <alignment horizontal="center" vertical="center"/>
    </xf>
    <xf numFmtId="0" fontId="75" fillId="4" borderId="5" xfId="2" quotePrefix="1" applyFont="1" applyFill="1" applyBorder="1" applyAlignment="1">
      <alignment horizontal="center" vertical="center"/>
    </xf>
    <xf numFmtId="0" fontId="76" fillId="3" borderId="2" xfId="2" applyFont="1" applyFill="1" applyBorder="1">
      <alignment vertical="center" wrapText="1"/>
    </xf>
    <xf numFmtId="0" fontId="76" fillId="3" borderId="32" xfId="2" applyFont="1" applyFill="1" applyBorder="1">
      <alignment vertical="center" wrapText="1"/>
    </xf>
    <xf numFmtId="0" fontId="76" fillId="3" borderId="5" xfId="2" applyFont="1" applyFill="1" applyBorder="1">
      <alignment vertical="center" wrapText="1"/>
    </xf>
    <xf numFmtId="0" fontId="77" fillId="4" borderId="63" xfId="2" applyFont="1" applyFill="1" applyBorder="1" applyAlignment="1">
      <alignment vertical="center"/>
    </xf>
    <xf numFmtId="0" fontId="3" fillId="4" borderId="64" xfId="2" applyFill="1" applyBorder="1">
      <alignment vertical="center" wrapText="1"/>
    </xf>
    <xf numFmtId="0" fontId="3" fillId="4" borderId="65" xfId="2" applyFill="1" applyBorder="1">
      <alignment vertical="center" wrapText="1"/>
    </xf>
    <xf numFmtId="0" fontId="31" fillId="0" borderId="1" xfId="2" applyFont="1" applyBorder="1" applyAlignment="1">
      <alignment horizontal="center" vertical="center"/>
    </xf>
    <xf numFmtId="0" fontId="12" fillId="0" borderId="0" xfId="2" applyFont="1" applyAlignment="1"/>
    <xf numFmtId="14" fontId="3" fillId="0" borderId="0" xfId="2" applyNumberFormat="1" applyAlignment="1">
      <alignment vertical="center"/>
    </xf>
    <xf numFmtId="0" fontId="3" fillId="0" borderId="34" xfId="2" applyBorder="1" applyAlignment="1">
      <alignment horizontal="center" vertical="center" wrapText="1"/>
    </xf>
    <xf numFmtId="0" fontId="3" fillId="0" borderId="66" xfId="2" applyBorder="1" applyAlignment="1">
      <alignment horizontal="center" vertical="center" wrapText="1"/>
    </xf>
    <xf numFmtId="0" fontId="4" fillId="4" borderId="34" xfId="2" applyFont="1" applyFill="1" applyBorder="1" applyAlignment="1">
      <alignment horizontal="center" vertical="center"/>
    </xf>
    <xf numFmtId="0" fontId="3" fillId="0" borderId="29" xfId="2" applyBorder="1" applyAlignment="1">
      <alignment horizontal="center" vertical="center" wrapText="1"/>
    </xf>
    <xf numFmtId="0" fontId="3" fillId="0" borderId="67" xfId="2" applyBorder="1" applyAlignment="1">
      <alignment horizontal="center" vertical="center" wrapText="1"/>
    </xf>
    <xf numFmtId="0" fontId="3" fillId="0" borderId="68" xfId="2" applyBorder="1" applyAlignment="1">
      <alignment horizontal="center" vertical="center" wrapText="1"/>
    </xf>
    <xf numFmtId="0" fontId="3" fillId="0" borderId="31" xfId="2" applyBorder="1" applyAlignment="1">
      <alignment horizontal="center" vertical="center" wrapText="1"/>
    </xf>
    <xf numFmtId="0" fontId="4" fillId="4" borderId="66" xfId="2" applyFont="1" applyFill="1" applyBorder="1" applyAlignment="1">
      <alignment horizontal="center" vertical="center"/>
    </xf>
    <xf numFmtId="0" fontId="3" fillId="0" borderId="69" xfId="2" applyBorder="1" applyAlignment="1">
      <alignment horizontal="center" vertical="center" wrapText="1"/>
    </xf>
    <xf numFmtId="0" fontId="3" fillId="0" borderId="70" xfId="2" applyBorder="1" applyAlignment="1">
      <alignment horizontal="center" vertical="center" wrapText="1"/>
    </xf>
    <xf numFmtId="0" fontId="3" fillId="0" borderId="71" xfId="2" applyBorder="1" applyAlignment="1">
      <alignment horizontal="center" vertical="center" wrapText="1"/>
    </xf>
    <xf numFmtId="0" fontId="3" fillId="0" borderId="72" xfId="2" applyBorder="1" applyAlignment="1">
      <alignment horizontal="center" vertical="center" wrapText="1"/>
    </xf>
    <xf numFmtId="0" fontId="4" fillId="0" borderId="34" xfId="2" applyFont="1" applyBorder="1" applyAlignment="1">
      <alignment horizontal="center" vertical="center"/>
    </xf>
    <xf numFmtId="0" fontId="3" fillId="3" borderId="34" xfId="2" applyFill="1" applyBorder="1">
      <alignment vertical="center" wrapText="1"/>
    </xf>
    <xf numFmtId="0" fontId="3" fillId="3" borderId="29" xfId="2" applyFill="1" applyBorder="1">
      <alignment vertical="center" wrapText="1"/>
    </xf>
    <xf numFmtId="0" fontId="3" fillId="3" borderId="67" xfId="2" applyFill="1" applyBorder="1">
      <alignment vertical="center" wrapText="1"/>
    </xf>
    <xf numFmtId="0" fontId="3" fillId="3" borderId="68" xfId="2" applyFill="1" applyBorder="1">
      <alignment vertical="center" wrapText="1"/>
    </xf>
    <xf numFmtId="0" fontId="3" fillId="3" borderId="31" xfId="2" applyFill="1" applyBorder="1">
      <alignment vertical="center" wrapText="1"/>
    </xf>
    <xf numFmtId="0" fontId="3" fillId="0" borderId="74" xfId="2" applyBorder="1">
      <alignment vertical="center" wrapText="1"/>
    </xf>
    <xf numFmtId="2" fontId="43" fillId="0" borderId="0" xfId="0" applyNumberFormat="1" applyFont="1" applyAlignment="1">
      <alignment horizontal="right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23" fillId="10" borderId="2" xfId="2" quotePrefix="1" applyFont="1" applyFill="1" applyBorder="1" applyAlignment="1">
      <alignment vertical="center"/>
    </xf>
    <xf numFmtId="0" fontId="36" fillId="7" borderId="29" xfId="0" applyFont="1" applyFill="1" applyBorder="1"/>
    <xf numFmtId="0" fontId="36" fillId="7" borderId="30" xfId="0" applyFont="1" applyFill="1" applyBorder="1"/>
    <xf numFmtId="0" fontId="36" fillId="7" borderId="31" xfId="0" applyFont="1" applyFill="1" applyBorder="1" applyAlignment="1">
      <alignment horizontal="center"/>
    </xf>
    <xf numFmtId="0" fontId="36" fillId="7" borderId="30" xfId="0" applyFont="1" applyFill="1" applyBorder="1" applyAlignment="1">
      <alignment horizontal="center"/>
    </xf>
    <xf numFmtId="0" fontId="0" fillId="0" borderId="66" xfId="0" applyBorder="1"/>
    <xf numFmtId="14" fontId="0" fillId="0" borderId="66" xfId="0" applyNumberFormat="1" applyBorder="1" applyAlignment="1">
      <alignment horizontal="center"/>
    </xf>
    <xf numFmtId="0" fontId="0" fillId="0" borderId="22" xfId="0" applyBorder="1"/>
    <xf numFmtId="0" fontId="0" fillId="0" borderId="24" xfId="0" applyBorder="1"/>
    <xf numFmtId="0" fontId="0" fillId="0" borderId="18" xfId="0" applyBorder="1"/>
    <xf numFmtId="14" fontId="0" fillId="0" borderId="18" xfId="0" applyNumberFormat="1" applyBorder="1" applyAlignment="1">
      <alignment horizontal="center"/>
    </xf>
    <xf numFmtId="0" fontId="0" fillId="0" borderId="26" xfId="0" applyBorder="1"/>
    <xf numFmtId="14" fontId="0" fillId="0" borderId="66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14" fontId="0" fillId="0" borderId="18" xfId="0" applyNumberFormat="1" applyBorder="1" applyAlignment="1">
      <alignment horizontal="left"/>
    </xf>
    <xf numFmtId="0" fontId="0" fillId="9" borderId="22" xfId="0" applyFill="1" applyBorder="1"/>
    <xf numFmtId="167" fontId="38" fillId="0" borderId="0" xfId="0" applyNumberFormat="1" applyFont="1" applyAlignment="1">
      <alignment horizontal="right" vertical="center"/>
    </xf>
    <xf numFmtId="0" fontId="77" fillId="4" borderId="58" xfId="2" applyFont="1" applyFill="1" applyBorder="1" applyAlignment="1">
      <alignment horizontal="center" vertical="center" wrapText="1"/>
    </xf>
    <xf numFmtId="0" fontId="77" fillId="4" borderId="14" xfId="2" applyFont="1" applyFill="1" applyBorder="1" applyAlignment="1">
      <alignment horizontal="center" vertical="center" wrapText="1"/>
    </xf>
    <xf numFmtId="0" fontId="77" fillId="4" borderId="0" xfId="2" applyFont="1" applyFill="1" applyAlignment="1">
      <alignment horizontal="center" vertical="center"/>
    </xf>
    <xf numFmtId="0" fontId="77" fillId="4" borderId="36" xfId="2" applyFont="1" applyFill="1" applyBorder="1" applyAlignment="1">
      <alignment horizontal="center" vertical="center"/>
    </xf>
    <xf numFmtId="10" fontId="77" fillId="4" borderId="62" xfId="2" applyNumberFormat="1" applyFont="1" applyFill="1" applyBorder="1" applyAlignment="1">
      <alignment horizontal="center" vertical="center"/>
    </xf>
    <xf numFmtId="10" fontId="77" fillId="4" borderId="17" xfId="2" applyNumberFormat="1" applyFont="1" applyFill="1" applyBorder="1" applyAlignment="1">
      <alignment horizontal="center" vertical="center"/>
    </xf>
    <xf numFmtId="0" fontId="65" fillId="2" borderId="59" xfId="2" applyFont="1" applyFill="1" applyBorder="1" applyAlignment="1">
      <alignment horizontal="center" vertical="center"/>
    </xf>
    <xf numFmtId="0" fontId="65" fillId="2" borderId="60" xfId="2" applyFont="1" applyFill="1" applyBorder="1" applyAlignment="1">
      <alignment horizontal="center" vertical="center"/>
    </xf>
    <xf numFmtId="0" fontId="65" fillId="2" borderId="61" xfId="2" applyFont="1" applyFill="1" applyBorder="1" applyAlignment="1">
      <alignment horizontal="center" vertical="center"/>
    </xf>
    <xf numFmtId="0" fontId="19" fillId="0" borderId="0" xfId="2" applyFont="1" applyAlignment="1">
      <alignment horizontal="center" vertical="center" wrapText="1"/>
    </xf>
    <xf numFmtId="0" fontId="21" fillId="6" borderId="32" xfId="2" applyFont="1" applyFill="1" applyBorder="1" applyAlignment="1">
      <alignment horizontal="left" vertical="center" wrapText="1"/>
    </xf>
    <xf numFmtId="0" fontId="4" fillId="7" borderId="2" xfId="2" quotePrefix="1" applyFont="1" applyFill="1" applyBorder="1" applyAlignment="1">
      <alignment horizontal="center" vertical="center" wrapText="1"/>
    </xf>
    <xf numFmtId="0" fontId="4" fillId="7" borderId="5" xfId="2" quotePrefix="1" applyFont="1" applyFill="1" applyBorder="1" applyAlignment="1">
      <alignment horizontal="center" vertical="center" wrapText="1"/>
    </xf>
    <xf numFmtId="0" fontId="37" fillId="0" borderId="0" xfId="0" applyFont="1" applyAlignment="1">
      <alignment horizontal="center"/>
    </xf>
    <xf numFmtId="0" fontId="66" fillId="13" borderId="32" xfId="0" applyFont="1" applyFill="1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23" fillId="10" borderId="0" xfId="2" quotePrefix="1" applyFont="1" applyFill="1" applyAlignment="1">
      <alignment horizontal="center" vertical="center"/>
    </xf>
    <xf numFmtId="0" fontId="32" fillId="0" borderId="1" xfId="2" quotePrefix="1" applyFont="1" applyBorder="1" applyAlignment="1">
      <alignment horizontal="center" vertical="center"/>
    </xf>
    <xf numFmtId="0" fontId="78" fillId="0" borderId="73" xfId="2" applyFont="1" applyBorder="1" applyAlignment="1">
      <alignment horizontal="left" vertical="center" textRotation="90"/>
    </xf>
    <xf numFmtId="0" fontId="78" fillId="0" borderId="75" xfId="2" applyFont="1" applyBorder="1" applyAlignment="1">
      <alignment horizontal="left" vertical="center" textRotation="90"/>
    </xf>
    <xf numFmtId="0" fontId="78" fillId="0" borderId="58" xfId="2" applyFont="1" applyBorder="1" applyAlignment="1">
      <alignment horizontal="left" vertical="center" textRotation="90"/>
    </xf>
    <xf numFmtId="0" fontId="78" fillId="0" borderId="62" xfId="2" applyFont="1" applyBorder="1" applyAlignment="1">
      <alignment horizontal="left" vertical="center" textRotation="90"/>
    </xf>
    <xf numFmtId="0" fontId="78" fillId="0" borderId="76" xfId="2" applyFont="1" applyBorder="1" applyAlignment="1">
      <alignment horizontal="left" vertical="center" textRotation="90"/>
    </xf>
    <xf numFmtId="0" fontId="78" fillId="0" borderId="77" xfId="2" applyFont="1" applyBorder="1" applyAlignment="1">
      <alignment horizontal="left" vertical="center" textRotation="90"/>
    </xf>
  </cellXfs>
  <cellStyles count="3">
    <cellStyle name="Normal" xfId="0" builtinId="0"/>
    <cellStyle name="Normal 2" xfId="2" xr:uid="{31309EAA-FCF6-4630-B9F5-2ECD20B8EFEC}"/>
    <cellStyle name="Normale_42N matrix 13042012 3" xfId="1" xr:uid="{968B638E-3732-4DE0-B2D7-BCB3F2C4DCC0}"/>
  </cellStyles>
  <dxfs count="60">
    <dxf>
      <font>
        <color theme="0"/>
      </font>
      <fill>
        <patternFill>
          <bgColor theme="9" tint="-0.499984740745262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 patternType="solid">
          <fgColor theme="0"/>
          <bgColor theme="1" tint="0.499984740745262"/>
        </patternFill>
      </fill>
    </dxf>
    <dxf>
      <fill>
        <patternFill patternType="solid">
          <fgColor theme="0" tint="-0.24994659260841701"/>
          <bgColor rgb="FFF2F2F2"/>
        </patternFill>
      </fill>
    </dxf>
    <dxf>
      <fill>
        <patternFill patternType="solid">
          <fgColor theme="0" tint="-0.24994659260841701"/>
          <bgColor rgb="FFFFE3FF"/>
        </patternFill>
      </fill>
    </dxf>
    <dxf>
      <fill>
        <patternFill patternType="solid">
          <fgColor theme="0" tint="-0.24994659260841701"/>
          <bgColor rgb="FFB8C1E9"/>
        </patternFill>
      </fill>
    </dxf>
    <dxf>
      <font>
        <color theme="0"/>
      </font>
      <fill>
        <patternFill patternType="solid">
          <fgColor theme="0" tint="-0.24994659260841701"/>
          <bgColor rgb="FF5ECCF3"/>
        </patternFill>
      </fill>
    </dxf>
    <dxf>
      <fill>
        <patternFill patternType="solid">
          <fgColor theme="0" tint="-0.24994659260841701"/>
          <bgColor rgb="FF00FFCC"/>
        </patternFill>
      </fill>
    </dxf>
    <dxf>
      <font>
        <color theme="0"/>
      </font>
      <fill>
        <patternFill patternType="solid">
          <fgColor theme="0" tint="-0.24994659260841701"/>
          <bgColor rgb="FF00B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1" tint="0.34998626667073579"/>
        </patternFill>
      </fill>
    </dxf>
    <dxf>
      <fill>
        <patternFill>
          <bgColor theme="0" tint="-0.24994659260841701"/>
        </patternFill>
      </fill>
    </dxf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6"/>
        </patternFill>
      </fill>
    </dxf>
    <dxf>
      <font>
        <color theme="1" tint="0.24994659260841701"/>
      </font>
      <fill>
        <patternFill patternType="darkUp">
          <fgColor theme="0" tint="-0.14993743705557422"/>
          <bgColor theme="0"/>
        </patternFill>
      </fill>
    </dxf>
    <dxf>
      <font>
        <color theme="0" tint="-0.34998626667073579"/>
      </font>
      <fill>
        <patternFill patternType="solid">
          <fgColor theme="0" tint="-0.14990691854609822"/>
          <bgColor theme="6" tint="0.79998168889431442"/>
        </patternFill>
      </fill>
    </dxf>
    <dxf>
      <font>
        <color theme="1"/>
      </font>
      <fill>
        <patternFill>
          <bgColor theme="6"/>
        </patternFill>
      </fill>
    </dxf>
    <dxf>
      <font>
        <color theme="1" tint="0.24994659260841701"/>
      </font>
      <fill>
        <patternFill patternType="darkUp">
          <fgColor theme="0" tint="-0.14993743705557422"/>
          <bgColor theme="0"/>
        </patternFill>
      </fill>
    </dxf>
    <dxf>
      <font>
        <color theme="0" tint="-0.34998626667073579"/>
      </font>
      <fill>
        <patternFill patternType="solid">
          <fgColor theme="0" tint="-0.14990691854609822"/>
          <bgColor theme="6" tint="0.79998168889431442"/>
        </patternFill>
      </fill>
    </dxf>
    <dxf>
      <font>
        <color theme="1"/>
      </font>
      <fill>
        <patternFill>
          <bgColor theme="6"/>
        </patternFill>
      </fill>
    </dxf>
    <dxf>
      <font>
        <color theme="1" tint="0.24994659260841701"/>
      </font>
      <fill>
        <patternFill patternType="darkUp">
          <fgColor theme="0" tint="-0.14993743705557422"/>
          <bgColor theme="0"/>
        </patternFill>
      </fill>
    </dxf>
    <dxf>
      <font>
        <color theme="0" tint="-0.34998626667073579"/>
      </font>
      <fill>
        <patternFill patternType="solid">
          <fgColor theme="0" tint="-0.14990691854609822"/>
          <bgColor theme="6" tint="0.79998168889431442"/>
        </patternFill>
      </fill>
    </dxf>
    <dxf>
      <font>
        <color theme="1"/>
      </font>
      <fill>
        <patternFill>
          <bgColor theme="6"/>
        </patternFill>
      </fill>
    </dxf>
    <dxf>
      <font>
        <color theme="1" tint="0.24994659260841701"/>
      </font>
      <fill>
        <patternFill patternType="darkUp">
          <fgColor theme="0" tint="-0.14993743705557422"/>
          <bgColor theme="0"/>
        </patternFill>
      </fill>
    </dxf>
    <dxf>
      <font>
        <color theme="0" tint="-0.34998626667073579"/>
      </font>
      <fill>
        <patternFill patternType="solid">
          <fgColor theme="0" tint="-0.14990691854609822"/>
          <bgColor theme="6" tint="0.79998168889431442"/>
        </patternFill>
      </fill>
    </dxf>
    <dxf>
      <font>
        <color theme="1"/>
      </font>
      <fill>
        <patternFill>
          <bgColor theme="6"/>
        </patternFill>
      </fill>
    </dxf>
    <dxf>
      <font>
        <color theme="1" tint="0.24994659260841701"/>
      </font>
      <fill>
        <patternFill patternType="darkUp">
          <fgColor theme="0" tint="-0.14993743705557422"/>
          <bgColor theme="0"/>
        </patternFill>
      </fill>
    </dxf>
    <dxf>
      <font>
        <color theme="0" tint="-0.34998626667073579"/>
      </font>
      <fill>
        <patternFill patternType="solid">
          <fgColor theme="0" tint="-0.14990691854609822"/>
          <bgColor theme="6" tint="0.79998168889431442"/>
        </patternFill>
      </fill>
    </dxf>
    <dxf>
      <font>
        <color theme="1"/>
      </font>
      <fill>
        <patternFill>
          <bgColor theme="6"/>
        </patternFill>
      </fill>
    </dxf>
    <dxf>
      <font>
        <color theme="1" tint="0.24994659260841701"/>
      </font>
      <fill>
        <patternFill patternType="darkUp">
          <fgColor theme="0" tint="-0.14993743705557422"/>
          <bgColor theme="0"/>
        </patternFill>
      </fill>
    </dxf>
    <dxf>
      <font>
        <color theme="0" tint="-0.34998626667073579"/>
      </font>
      <fill>
        <patternFill patternType="solid">
          <fgColor theme="0" tint="-0.14990691854609822"/>
          <bgColor theme="6" tint="0.79998168889431442"/>
        </patternFill>
      </fill>
    </dxf>
    <dxf>
      <font>
        <strike val="0"/>
        <color theme="1" tint="0.14993743705557422"/>
      </font>
      <fill>
        <patternFill>
          <bgColor rgb="FFDAE0F2"/>
        </patternFill>
      </fill>
    </dxf>
    <dxf>
      <font>
        <color theme="1"/>
      </font>
      <fill>
        <patternFill>
          <bgColor rgb="FFF9CFF2"/>
        </patternFill>
      </fill>
    </dxf>
    <dxf>
      <font>
        <color theme="0"/>
      </font>
      <fill>
        <patternFill>
          <bgColor rgb="FF7B1F74"/>
        </patternFill>
      </fill>
    </dxf>
    <dxf>
      <font>
        <color theme="0"/>
      </font>
      <fill>
        <patternFill>
          <bgColor rgb="FF313B72"/>
        </patternFill>
      </fill>
    </dxf>
    <dxf>
      <font>
        <color theme="0"/>
      </font>
      <fill>
        <patternFill>
          <bgColor rgb="FF40BCD8"/>
        </patternFill>
      </fill>
    </dxf>
    <dxf>
      <font>
        <color theme="1"/>
      </font>
      <fill>
        <patternFill>
          <bgColor rgb="FFC3F3C0"/>
        </patternFill>
      </fill>
    </dxf>
    <dxf>
      <font>
        <b/>
        <i val="0"/>
        <color theme="1"/>
      </font>
      <fill>
        <patternFill>
          <bgColor rgb="FF7EE081"/>
        </patternFill>
      </fill>
    </dxf>
    <dxf>
      <font>
        <color theme="6" tint="0.59996337778862885"/>
      </font>
    </dxf>
    <dxf>
      <fill>
        <patternFill>
          <bgColor theme="1" tint="0.34998626667073579"/>
        </patternFill>
      </fill>
    </dxf>
    <dxf>
      <fill>
        <patternFill>
          <bgColor rgb="FFF2F2F2"/>
        </patternFill>
      </fill>
    </dxf>
    <dxf>
      <fill>
        <patternFill>
          <bgColor rgb="FFFFE3FF"/>
        </patternFill>
      </fill>
    </dxf>
    <dxf>
      <fill>
        <patternFill>
          <bgColor rgb="FFB8C1E9"/>
        </patternFill>
      </fill>
    </dxf>
    <dxf>
      <fill>
        <patternFill>
          <bgColor theme="5"/>
        </patternFill>
      </fill>
    </dxf>
    <dxf>
      <fill>
        <patternFill>
          <bgColor rgb="FF66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auto="1"/>
      </font>
    </dxf>
  </dxfs>
  <tableStyles count="0" defaultTableStyle="TableStyleMedium2" defaultPivotStyle="PivotStyleLight16"/>
  <colors>
    <mruColors>
      <color rgb="FF00FFCC"/>
      <color rgb="FF5ECCF3"/>
      <color rgb="FFB8C1E9"/>
      <color rgb="FFFFE3FF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microsoft.com/office/2022/10/relationships/richValueRel" Target="richData/richValueRel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2.2205200403527414E-2"/>
          <c:w val="1"/>
          <c:h val="0.962445963971601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shade val="50000"/>
                      <a:lumMod val="60000"/>
                      <a:lumOff val="40000"/>
                    </a:schemeClr>
                  </a:gs>
                  <a:gs pos="0">
                    <a:schemeClr val="accent1">
                      <a:shade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C3-4A77-A70C-BFFD61FCF97E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1">
                      <a:shade val="70000"/>
                      <a:lumMod val="60000"/>
                      <a:lumOff val="40000"/>
                    </a:schemeClr>
                  </a:gs>
                  <a:gs pos="0">
                    <a:schemeClr val="accent1">
                      <a:shade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C3-4A77-A70C-BFFD61FCF97E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1">
                      <a:shade val="90000"/>
                      <a:lumMod val="60000"/>
                      <a:lumOff val="40000"/>
                    </a:schemeClr>
                  </a:gs>
                  <a:gs pos="0">
                    <a:schemeClr val="accent1">
                      <a:shade val="9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CC3-4A77-A70C-BFFD61FCF97E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1">
                      <a:tint val="90000"/>
                      <a:lumMod val="60000"/>
                      <a:lumOff val="40000"/>
                    </a:schemeClr>
                  </a:gs>
                  <a:gs pos="0">
                    <a:schemeClr val="accent1">
                      <a:tint val="9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CC3-4A77-A70C-BFFD61FCF97E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1">
                      <a:tint val="70000"/>
                      <a:lumMod val="60000"/>
                      <a:lumOff val="40000"/>
                    </a:schemeClr>
                  </a:gs>
                  <a:gs pos="0">
                    <a:schemeClr val="accent1">
                      <a:tint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CC3-4A77-A70C-BFFD61FCF97E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1">
                      <a:tint val="50000"/>
                      <a:lumMod val="60000"/>
                      <a:lumOff val="40000"/>
                    </a:schemeClr>
                  </a:gs>
                  <a:gs pos="0">
                    <a:schemeClr val="accent1">
                      <a:tint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CC3-4A77-A70C-BFFD61FCF9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'111 Wall Dashboard'!$H$7:$H$12</c:f>
              <c:strCache>
                <c:ptCount val="6"/>
                <c:pt idx="0">
                  <c:v>PROJECTED</c:v>
                </c:pt>
                <c:pt idx="1">
                  <c:v>LOADING</c:v>
                </c:pt>
                <c:pt idx="2">
                  <c:v>LOADED</c:v>
                </c:pt>
                <c:pt idx="3">
                  <c:v>ENROUTE</c:v>
                </c:pt>
                <c:pt idx="4">
                  <c:v>IN PORT</c:v>
                </c:pt>
                <c:pt idx="5">
                  <c:v>DELIVERED</c:v>
                </c:pt>
              </c:strCache>
            </c:strRef>
          </c:cat>
          <c:val>
            <c:numRef>
              <c:f>'111 Wall Dashboard'!$I$7:$I$12</c:f>
              <c:numCache>
                <c:formatCode>General</c:formatCode>
                <c:ptCount val="6"/>
                <c:pt idx="0">
                  <c:v>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CC3-4A77-A70C-BFFD61FCF97E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2.2205200403527414E-2"/>
          <c:w val="1"/>
          <c:h val="0.962445963971601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shade val="50000"/>
                      <a:lumMod val="60000"/>
                      <a:lumOff val="40000"/>
                    </a:schemeClr>
                  </a:gs>
                  <a:gs pos="0">
                    <a:schemeClr val="accent1">
                      <a:shade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48-4B57-B71F-6DFBA924F97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1">
                      <a:shade val="70000"/>
                      <a:lumMod val="60000"/>
                      <a:lumOff val="40000"/>
                    </a:schemeClr>
                  </a:gs>
                  <a:gs pos="0">
                    <a:schemeClr val="accent1">
                      <a:shade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48-4B57-B71F-6DFBA924F974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1">
                      <a:shade val="90000"/>
                      <a:lumMod val="60000"/>
                      <a:lumOff val="40000"/>
                    </a:schemeClr>
                  </a:gs>
                  <a:gs pos="0">
                    <a:schemeClr val="accent1">
                      <a:shade val="9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48-4B57-B71F-6DFBA924F974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1">
                      <a:tint val="90000"/>
                      <a:lumMod val="60000"/>
                      <a:lumOff val="40000"/>
                    </a:schemeClr>
                  </a:gs>
                  <a:gs pos="0">
                    <a:schemeClr val="accent1">
                      <a:tint val="9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548-4B57-B71F-6DFBA924F974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1">
                      <a:tint val="70000"/>
                      <a:lumMod val="60000"/>
                      <a:lumOff val="40000"/>
                    </a:schemeClr>
                  </a:gs>
                  <a:gs pos="0">
                    <a:schemeClr val="accent1">
                      <a:tint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548-4B57-B71F-6DFBA924F974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1">
                      <a:tint val="50000"/>
                      <a:lumMod val="60000"/>
                      <a:lumOff val="40000"/>
                    </a:schemeClr>
                  </a:gs>
                  <a:gs pos="0">
                    <a:schemeClr val="accent1">
                      <a:tint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548-4B57-B71F-6DFBA924F9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'111 Wall to CCM'!$H$7:$H$12</c:f>
              <c:strCache>
                <c:ptCount val="6"/>
                <c:pt idx="0">
                  <c:v>PROJECTED</c:v>
                </c:pt>
                <c:pt idx="1">
                  <c:v>LOADING</c:v>
                </c:pt>
                <c:pt idx="2">
                  <c:v>LOADED</c:v>
                </c:pt>
                <c:pt idx="3">
                  <c:v>ENROUTE</c:v>
                </c:pt>
                <c:pt idx="4">
                  <c:v>IN PORT</c:v>
                </c:pt>
                <c:pt idx="5">
                  <c:v>DELIVERED</c:v>
                </c:pt>
              </c:strCache>
            </c:strRef>
          </c:cat>
          <c:val>
            <c:numRef>
              <c:f>'111 Wall to CCM'!$I$7:$I$12</c:f>
              <c:numCache>
                <c:formatCode>General</c:formatCode>
                <c:ptCount val="6"/>
                <c:pt idx="0">
                  <c:v>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548-4B57-B71F-6DFBA924F974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257735</xdr:colOff>
      <xdr:row>4</xdr:row>
      <xdr:rowOff>89647</xdr:rowOff>
    </xdr:from>
    <xdr:to>
      <xdr:col>6</xdr:col>
      <xdr:colOff>869674</xdr:colOff>
      <xdr:row>16</xdr:row>
      <xdr:rowOff>100853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B19EB65-2E1D-4A9F-9485-E2E563E399FF}"/>
            </a:ext>
          </a:extLst>
        </xdr:cNvPr>
        <xdr:cNvGrpSpPr/>
      </xdr:nvGrpSpPr>
      <xdr:grpSpPr>
        <a:xfrm>
          <a:off x="4682530" y="1085442"/>
          <a:ext cx="2568894" cy="2392456"/>
          <a:chOff x="4150561" y="1149821"/>
          <a:chExt cx="2364441" cy="2388315"/>
        </a:xfrm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EBED808E-BF23-49CA-8622-18237D701F7C}"/>
              </a:ext>
            </a:extLst>
          </xdr:cNvPr>
          <xdr:cNvSpPr/>
        </xdr:nvSpPr>
        <xdr:spPr>
          <a:xfrm>
            <a:off x="4150561" y="1149821"/>
            <a:ext cx="2364441" cy="2388315"/>
          </a:xfrm>
          <a:prstGeom prst="roundRect">
            <a:avLst/>
          </a:prstGeom>
          <a:pattFill prst="dkDnDiag">
            <a:fgClr>
              <a:schemeClr val="bg1">
                <a:lumMod val="85000"/>
              </a:schemeClr>
            </a:fgClr>
            <a:bgClr>
              <a:schemeClr val="bg1"/>
            </a:bgClr>
          </a:patt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1">
            <a:schemeClr val="accent4"/>
          </a:lnRef>
          <a:fillRef idx="2">
            <a:schemeClr val="accent4"/>
          </a:fillRef>
          <a:effectRef idx="1">
            <a:schemeClr val="accent4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BE45BFDB-E95A-116A-3401-D5CEDF11AC16}"/>
              </a:ext>
            </a:extLst>
          </xdr:cNvPr>
          <xdr:cNvGraphicFramePr/>
        </xdr:nvGraphicFramePr>
        <xdr:xfrm>
          <a:off x="4349416" y="1299213"/>
          <a:ext cx="1982881" cy="206170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1</xdr:col>
      <xdr:colOff>1705</xdr:colOff>
      <xdr:row>4</xdr:row>
      <xdr:rowOff>112060</xdr:rowOff>
    </xdr:from>
    <xdr:to>
      <xdr:col>2</xdr:col>
      <xdr:colOff>173935</xdr:colOff>
      <xdr:row>8</xdr:row>
      <xdr:rowOff>112059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1BBEB796-CDF8-4425-9D55-9C6458D35166}"/>
            </a:ext>
          </a:extLst>
        </xdr:cNvPr>
        <xdr:cNvSpPr/>
      </xdr:nvSpPr>
      <xdr:spPr>
        <a:xfrm>
          <a:off x="497005" y="1112185"/>
          <a:ext cx="1505730" cy="895349"/>
        </a:xfrm>
        <a:prstGeom prst="roundRect">
          <a:avLst/>
        </a:prstGeom>
        <a:noFill/>
        <a:ln w="9525" cap="flat" cmpd="sng" algn="ctr">
          <a:solidFill>
            <a:schemeClr val="tx2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4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0</xdr:col>
      <xdr:colOff>510885</xdr:colOff>
      <xdr:row>9</xdr:row>
      <xdr:rowOff>56028</xdr:rowOff>
    </xdr:from>
    <xdr:to>
      <xdr:col>4</xdr:col>
      <xdr:colOff>67235</xdr:colOff>
      <xdr:row>16</xdr:row>
      <xdr:rowOff>112568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1B9C7BF-ACB1-42A1-A379-F942ABE01898}"/>
            </a:ext>
          </a:extLst>
        </xdr:cNvPr>
        <xdr:cNvSpPr/>
      </xdr:nvSpPr>
      <xdr:spPr>
        <a:xfrm>
          <a:off x="510885" y="2134210"/>
          <a:ext cx="4214941" cy="1355403"/>
        </a:xfrm>
        <a:prstGeom prst="roundRect">
          <a:avLst/>
        </a:prstGeom>
        <a:noFill/>
        <a:ln w="9525" cap="flat" cmpd="sng" algn="ctr">
          <a:solidFill>
            <a:schemeClr val="tx2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4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762000</xdr:colOff>
      <xdr:row>4</xdr:row>
      <xdr:rowOff>112060</xdr:rowOff>
    </xdr:from>
    <xdr:to>
      <xdr:col>4</xdr:col>
      <xdr:colOff>78441</xdr:colOff>
      <xdr:row>8</xdr:row>
      <xdr:rowOff>112059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4F7CC035-72FD-4CB6-9DD9-F829360063A7}"/>
            </a:ext>
          </a:extLst>
        </xdr:cNvPr>
        <xdr:cNvSpPr/>
      </xdr:nvSpPr>
      <xdr:spPr>
        <a:xfrm>
          <a:off x="2978727" y="1107855"/>
          <a:ext cx="1671714" cy="900545"/>
        </a:xfrm>
        <a:prstGeom prst="roundRect">
          <a:avLst/>
        </a:prstGeom>
        <a:noFill/>
        <a:ln w="9525" cap="flat" cmpd="sng" algn="ctr">
          <a:solidFill>
            <a:schemeClr val="tx2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4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6</xdr:col>
      <xdr:colOff>1109870</xdr:colOff>
      <xdr:row>4</xdr:row>
      <xdr:rowOff>107674</xdr:rowOff>
    </xdr:from>
    <xdr:to>
      <xdr:col>10</xdr:col>
      <xdr:colOff>115956</xdr:colOff>
      <xdr:row>16</xdr:row>
      <xdr:rowOff>168088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CCF64112-AD51-4523-9110-2061F0D9AF5F}"/>
            </a:ext>
          </a:extLst>
        </xdr:cNvPr>
        <xdr:cNvSpPr/>
      </xdr:nvSpPr>
      <xdr:spPr>
        <a:xfrm>
          <a:off x="7743752" y="1116203"/>
          <a:ext cx="3129851" cy="2424856"/>
        </a:xfrm>
        <a:prstGeom prst="roundRect">
          <a:avLst/>
        </a:prstGeom>
        <a:noFill/>
        <a:ln w="9525" cap="flat" cmpd="sng" algn="ctr">
          <a:solidFill>
            <a:schemeClr val="tx2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4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13</xdr:col>
      <xdr:colOff>285751</xdr:colOff>
      <xdr:row>4</xdr:row>
      <xdr:rowOff>100853</xdr:rowOff>
    </xdr:from>
    <xdr:to>
      <xdr:col>15</xdr:col>
      <xdr:colOff>86835</xdr:colOff>
      <xdr:row>16</xdr:row>
      <xdr:rowOff>82825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2CAD5469-8551-49B0-B37F-AA180A27CBCC}"/>
            </a:ext>
          </a:extLst>
        </xdr:cNvPr>
        <xdr:cNvSpPr/>
      </xdr:nvSpPr>
      <xdr:spPr>
        <a:xfrm>
          <a:off x="13655387" y="1096648"/>
          <a:ext cx="2338198" cy="2363222"/>
        </a:xfrm>
        <a:prstGeom prst="roundRect">
          <a:avLst/>
        </a:prstGeom>
        <a:noFill/>
        <a:ln w="9525" cap="flat" cmpd="sng" algn="ctr">
          <a:solidFill>
            <a:schemeClr val="tx2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4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1</xdr:col>
      <xdr:colOff>1704</xdr:colOff>
      <xdr:row>0</xdr:row>
      <xdr:rowOff>89649</xdr:rowOff>
    </xdr:from>
    <xdr:to>
      <xdr:col>15</xdr:col>
      <xdr:colOff>34637</xdr:colOff>
      <xdr:row>3</xdr:row>
      <xdr:rowOff>123825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36816D16-4EAB-452B-A1F0-73BEDFC3BFDB}"/>
            </a:ext>
          </a:extLst>
        </xdr:cNvPr>
        <xdr:cNvSpPr/>
      </xdr:nvSpPr>
      <xdr:spPr>
        <a:xfrm>
          <a:off x="495272" y="89649"/>
          <a:ext cx="14926570" cy="822153"/>
        </a:xfrm>
        <a:prstGeom prst="roundRect">
          <a:avLst/>
        </a:prstGeom>
        <a:noFill/>
        <a:ln w="28575" cap="flat" cmpd="sng" algn="ctr">
          <a:solidFill>
            <a:schemeClr val="tx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10</xdr:col>
      <xdr:colOff>432953</xdr:colOff>
      <xdr:row>4</xdr:row>
      <xdr:rowOff>112452</xdr:rowOff>
    </xdr:from>
    <xdr:to>
      <xdr:col>13</xdr:col>
      <xdr:colOff>190500</xdr:colOff>
      <xdr:row>16</xdr:row>
      <xdr:rowOff>138545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681EE37D-5189-4E91-B9D3-4164A07D99D9}"/>
            </a:ext>
          </a:extLst>
        </xdr:cNvPr>
        <xdr:cNvSpPr/>
      </xdr:nvSpPr>
      <xdr:spPr>
        <a:xfrm>
          <a:off x="11161567" y="1108247"/>
          <a:ext cx="2398569" cy="2407343"/>
        </a:xfrm>
        <a:prstGeom prst="roundRect">
          <a:avLst/>
        </a:prstGeom>
        <a:noFill/>
        <a:ln w="9525" cap="flat" cmpd="sng" algn="ctr">
          <a:solidFill>
            <a:schemeClr val="tx2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4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151810</xdr:colOff>
      <xdr:row>4</xdr:row>
      <xdr:rowOff>118222</xdr:rowOff>
    </xdr:from>
    <xdr:to>
      <xdr:col>6</xdr:col>
      <xdr:colOff>687549</xdr:colOff>
      <xdr:row>16</xdr:row>
      <xdr:rowOff>29158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CC4C5C1-6CD2-4CA4-965A-01BECD5CA813}"/>
            </a:ext>
          </a:extLst>
        </xdr:cNvPr>
        <xdr:cNvGrpSpPr/>
      </xdr:nvGrpSpPr>
      <xdr:grpSpPr>
        <a:xfrm>
          <a:off x="3580810" y="1126751"/>
          <a:ext cx="1880445" cy="2230554"/>
          <a:chOff x="4150561" y="1149821"/>
          <a:chExt cx="2364441" cy="2388315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1AF863E2-0A96-E0CC-3887-4834403449E6}"/>
              </a:ext>
            </a:extLst>
          </xdr:cNvPr>
          <xdr:cNvSpPr/>
        </xdr:nvSpPr>
        <xdr:spPr>
          <a:xfrm>
            <a:off x="4150561" y="1149821"/>
            <a:ext cx="2364441" cy="2388315"/>
          </a:xfrm>
          <a:prstGeom prst="roundRect">
            <a:avLst/>
          </a:prstGeom>
          <a:pattFill prst="dkDnDiag">
            <a:fgClr>
              <a:schemeClr val="bg1">
                <a:lumMod val="85000"/>
              </a:schemeClr>
            </a:fgClr>
            <a:bgClr>
              <a:schemeClr val="bg1"/>
            </a:bgClr>
          </a:patt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1">
            <a:schemeClr val="accent4"/>
          </a:lnRef>
          <a:fillRef idx="2">
            <a:schemeClr val="accent4"/>
          </a:fillRef>
          <a:effectRef idx="1">
            <a:schemeClr val="accent4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1BA526D6-512F-BCDB-BBD9-E15193A14944}"/>
              </a:ext>
            </a:extLst>
          </xdr:cNvPr>
          <xdr:cNvGraphicFramePr/>
        </xdr:nvGraphicFramePr>
        <xdr:xfrm>
          <a:off x="4349416" y="1299213"/>
          <a:ext cx="1982881" cy="206170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1</xdr:col>
      <xdr:colOff>1705</xdr:colOff>
      <xdr:row>4</xdr:row>
      <xdr:rowOff>112060</xdr:rowOff>
    </xdr:from>
    <xdr:to>
      <xdr:col>2</xdr:col>
      <xdr:colOff>9525</xdr:colOff>
      <xdr:row>8</xdr:row>
      <xdr:rowOff>112059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185D1599-C9F7-42A4-B1B6-3640EA93CCC0}"/>
            </a:ext>
          </a:extLst>
        </xdr:cNvPr>
        <xdr:cNvSpPr/>
      </xdr:nvSpPr>
      <xdr:spPr>
        <a:xfrm>
          <a:off x="582730" y="1112185"/>
          <a:ext cx="1465145" cy="895349"/>
        </a:xfrm>
        <a:prstGeom prst="roundRect">
          <a:avLst/>
        </a:prstGeom>
        <a:noFill/>
        <a:ln w="9525" cap="flat" cmpd="sng" algn="ctr">
          <a:solidFill>
            <a:schemeClr val="tx2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4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1</xdr:col>
      <xdr:colOff>7440</xdr:colOff>
      <xdr:row>9</xdr:row>
      <xdr:rowOff>56030</xdr:rowOff>
    </xdr:from>
    <xdr:to>
      <xdr:col>4</xdr:col>
      <xdr:colOff>67236</xdr:colOff>
      <xdr:row>15</xdr:row>
      <xdr:rowOff>165230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AF09471-EC5F-4EC1-B347-D6DDBBC6CBD6}"/>
            </a:ext>
          </a:extLst>
        </xdr:cNvPr>
        <xdr:cNvSpPr/>
      </xdr:nvSpPr>
      <xdr:spPr>
        <a:xfrm>
          <a:off x="328180" y="2135979"/>
          <a:ext cx="3170000" cy="1226930"/>
        </a:xfrm>
        <a:prstGeom prst="roundRect">
          <a:avLst/>
        </a:prstGeom>
        <a:noFill/>
        <a:ln w="9525" cap="flat" cmpd="sng" algn="ctr">
          <a:solidFill>
            <a:schemeClr val="tx2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4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524847</xdr:colOff>
      <xdr:row>4</xdr:row>
      <xdr:rowOff>112060</xdr:rowOff>
    </xdr:from>
    <xdr:to>
      <xdr:col>4</xdr:col>
      <xdr:colOff>68036</xdr:colOff>
      <xdr:row>8</xdr:row>
      <xdr:rowOff>112059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6830B9E-4DE7-490B-A60F-C56AECBC4722}"/>
            </a:ext>
          </a:extLst>
        </xdr:cNvPr>
        <xdr:cNvSpPr/>
      </xdr:nvSpPr>
      <xdr:spPr>
        <a:xfrm>
          <a:off x="2303495" y="1122876"/>
          <a:ext cx="1195485" cy="884464"/>
        </a:xfrm>
        <a:prstGeom prst="roundRect">
          <a:avLst/>
        </a:prstGeom>
        <a:noFill/>
        <a:ln w="9525" cap="flat" cmpd="sng" algn="ctr">
          <a:solidFill>
            <a:schemeClr val="tx2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4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6</xdr:col>
      <xdr:colOff>764598</xdr:colOff>
      <xdr:row>4</xdr:row>
      <xdr:rowOff>107675</xdr:rowOff>
    </xdr:from>
    <xdr:to>
      <xdr:col>10</xdr:col>
      <xdr:colOff>135948</xdr:colOff>
      <xdr:row>16</xdr:row>
      <xdr:rowOff>38878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F4D840F7-844A-4EE3-A165-98E791AF6DE8}"/>
            </a:ext>
          </a:extLst>
        </xdr:cNvPr>
        <xdr:cNvSpPr/>
      </xdr:nvSpPr>
      <xdr:spPr>
        <a:xfrm>
          <a:off x="5546537" y="1118491"/>
          <a:ext cx="2413518" cy="2302734"/>
        </a:xfrm>
        <a:prstGeom prst="roundRect">
          <a:avLst/>
        </a:prstGeom>
        <a:noFill/>
        <a:ln w="9525" cap="flat" cmpd="sng" algn="ctr">
          <a:solidFill>
            <a:schemeClr val="tx2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4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1</xdr:col>
      <xdr:colOff>1704</xdr:colOff>
      <xdr:row>0</xdr:row>
      <xdr:rowOff>89649</xdr:rowOff>
    </xdr:from>
    <xdr:to>
      <xdr:col>15</xdr:col>
      <xdr:colOff>34637</xdr:colOff>
      <xdr:row>3</xdr:row>
      <xdr:rowOff>123825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50BFCD74-A65D-4CA7-9718-8BDDB929AC59}"/>
            </a:ext>
          </a:extLst>
        </xdr:cNvPr>
        <xdr:cNvSpPr/>
      </xdr:nvSpPr>
      <xdr:spPr>
        <a:xfrm>
          <a:off x="582729" y="89649"/>
          <a:ext cx="14930033" cy="824751"/>
        </a:xfrm>
        <a:prstGeom prst="roundRect">
          <a:avLst/>
        </a:prstGeom>
        <a:noFill/>
        <a:ln w="28575" cap="flat" cmpd="sng" algn="ctr">
          <a:solidFill>
            <a:schemeClr val="tx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10</xdr:col>
      <xdr:colOff>432952</xdr:colOff>
      <xdr:row>4</xdr:row>
      <xdr:rowOff>112452</xdr:rowOff>
    </xdr:from>
    <xdr:to>
      <xdr:col>15</xdr:col>
      <xdr:colOff>56029</xdr:colOff>
      <xdr:row>16</xdr:row>
      <xdr:rowOff>48597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6F72AE1A-66AE-4D2D-BDA2-37FC20A8EB1B}"/>
            </a:ext>
          </a:extLst>
        </xdr:cNvPr>
        <xdr:cNvSpPr/>
      </xdr:nvSpPr>
      <xdr:spPr>
        <a:xfrm>
          <a:off x="8257059" y="1123268"/>
          <a:ext cx="4249506" cy="2307676"/>
        </a:xfrm>
        <a:prstGeom prst="roundRect">
          <a:avLst/>
        </a:prstGeom>
        <a:noFill/>
        <a:ln w="9525" cap="flat" cmpd="sng" algn="ctr">
          <a:solidFill>
            <a:schemeClr val="tx2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4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1843288studiosnaiderochicag.sharepoint.com/sites/210/Shared%20Documents/SHIPMENTS/MH%20Project%20Container%20Matrices%20&amp;%20Docs/111%20Wall%20St/111W_LOGISTICS_MATRI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1W_BUILDING MATRIX"/>
      <sheetName val="111 Wall_Logistics Schedule"/>
      <sheetName val="."/>
      <sheetName val="ROJ Dates"/>
      <sheetName val=".."/>
      <sheetName val="Sheet4"/>
    </sheetNames>
    <sheetDataSet>
      <sheetData sheetId="0">
        <row r="8">
          <cell r="B8">
            <v>301</v>
          </cell>
          <cell r="E8" t="str">
            <v>A01-K24-A</v>
          </cell>
          <cell r="G8">
            <v>1</v>
          </cell>
          <cell r="H8" t="str">
            <v>PROJ</v>
          </cell>
        </row>
        <row r="9">
          <cell r="B9">
            <v>302</v>
          </cell>
          <cell r="E9" t="str">
            <v>A02-K24</v>
          </cell>
          <cell r="G9">
            <v>1</v>
          </cell>
          <cell r="H9" t="str">
            <v>PROJ</v>
          </cell>
        </row>
        <row r="10">
          <cell r="B10">
            <v>303</v>
          </cell>
          <cell r="E10" t="str">
            <v>A03-K24-A</v>
          </cell>
          <cell r="G10">
            <v>1</v>
          </cell>
          <cell r="H10" t="str">
            <v>PROJ</v>
          </cell>
        </row>
        <row r="11">
          <cell r="B11">
            <v>304</v>
          </cell>
          <cell r="E11" t="str">
            <v>A03-K24-M</v>
          </cell>
          <cell r="G11">
            <v>1</v>
          </cell>
          <cell r="H11" t="str">
            <v>PROJ</v>
          </cell>
        </row>
        <row r="12">
          <cell r="B12">
            <v>305</v>
          </cell>
          <cell r="E12" t="str">
            <v>A03-K24-M</v>
          </cell>
          <cell r="G12">
            <v>1</v>
          </cell>
          <cell r="H12" t="str">
            <v>PROJ</v>
          </cell>
        </row>
        <row r="13">
          <cell r="B13">
            <v>306</v>
          </cell>
          <cell r="E13" t="str">
            <v>A07-K24</v>
          </cell>
          <cell r="G13">
            <v>1</v>
          </cell>
          <cell r="H13" t="str">
            <v>PROJ</v>
          </cell>
        </row>
        <row r="14">
          <cell r="B14">
            <v>307</v>
          </cell>
          <cell r="E14" t="str">
            <v>A03-K24</v>
          </cell>
          <cell r="G14">
            <v>1</v>
          </cell>
          <cell r="H14" t="str">
            <v>PROJ</v>
          </cell>
        </row>
        <row r="15">
          <cell r="B15">
            <v>308</v>
          </cell>
          <cell r="E15" t="str">
            <v>C4-K24</v>
          </cell>
          <cell r="G15">
            <v>1</v>
          </cell>
          <cell r="H15" t="str">
            <v>PROJ</v>
          </cell>
        </row>
        <row r="16">
          <cell r="B16">
            <v>309</v>
          </cell>
          <cell r="E16" t="str">
            <v>A03-K24</v>
          </cell>
          <cell r="G16">
            <v>1</v>
          </cell>
          <cell r="H16" t="str">
            <v>PROJ</v>
          </cell>
        </row>
        <row r="17">
          <cell r="B17">
            <v>310</v>
          </cell>
          <cell r="E17" t="str">
            <v>A03-K24-M</v>
          </cell>
          <cell r="G17">
            <v>1</v>
          </cell>
          <cell r="H17" t="str">
            <v>PROJ</v>
          </cell>
        </row>
        <row r="18">
          <cell r="B18">
            <v>311</v>
          </cell>
          <cell r="E18" t="str">
            <v>A03-K24-M</v>
          </cell>
          <cell r="G18">
            <v>1</v>
          </cell>
          <cell r="H18" t="str">
            <v>PROJ</v>
          </cell>
        </row>
        <row r="19">
          <cell r="B19">
            <v>312</v>
          </cell>
          <cell r="E19" t="str">
            <v>A02-K24</v>
          </cell>
          <cell r="G19">
            <v>1</v>
          </cell>
          <cell r="H19" t="str">
            <v>PROJ</v>
          </cell>
        </row>
        <row r="20">
          <cell r="B20">
            <v>313</v>
          </cell>
          <cell r="E20" t="str">
            <v>C1-K30</v>
          </cell>
          <cell r="G20">
            <v>1</v>
          </cell>
          <cell r="H20" t="str">
            <v>PROJ</v>
          </cell>
        </row>
        <row r="21">
          <cell r="B21">
            <v>315</v>
          </cell>
          <cell r="E21" t="str">
            <v>A04-K24</v>
          </cell>
          <cell r="G21">
            <v>1</v>
          </cell>
          <cell r="H21" t="str">
            <v>PROJ</v>
          </cell>
        </row>
        <row r="22">
          <cell r="B22">
            <v>316</v>
          </cell>
          <cell r="E22" t="str">
            <v>A01-K24-M</v>
          </cell>
          <cell r="G22">
            <v>1</v>
          </cell>
          <cell r="H22" t="str">
            <v>PROJ</v>
          </cell>
        </row>
        <row r="23">
          <cell r="B23">
            <v>317</v>
          </cell>
          <cell r="E23" t="str">
            <v>A05-K30</v>
          </cell>
          <cell r="G23">
            <v>1</v>
          </cell>
          <cell r="H23" t="str">
            <v>PROJ</v>
          </cell>
        </row>
        <row r="24">
          <cell r="B24">
            <v>318</v>
          </cell>
          <cell r="E24" t="str">
            <v>A02-K24-A</v>
          </cell>
          <cell r="G24">
            <v>1</v>
          </cell>
          <cell r="H24" t="str">
            <v>PROJ</v>
          </cell>
        </row>
        <row r="25">
          <cell r="B25">
            <v>319</v>
          </cell>
          <cell r="E25" t="str">
            <v>A03-K24-M</v>
          </cell>
          <cell r="G25">
            <v>1</v>
          </cell>
          <cell r="H25" t="str">
            <v>PROJ</v>
          </cell>
        </row>
        <row r="26">
          <cell r="B26">
            <v>320</v>
          </cell>
          <cell r="E26" t="str">
            <v>A02-K24-AM</v>
          </cell>
          <cell r="G26">
            <v>1</v>
          </cell>
          <cell r="H26" t="str">
            <v>PROJ</v>
          </cell>
        </row>
        <row r="27">
          <cell r="B27">
            <v>321</v>
          </cell>
          <cell r="E27" t="str">
            <v>A06-K24-AM</v>
          </cell>
          <cell r="G27">
            <v>1</v>
          </cell>
          <cell r="H27" t="str">
            <v>PROJ</v>
          </cell>
        </row>
        <row r="28">
          <cell r="B28">
            <v>322</v>
          </cell>
          <cell r="E28" t="str">
            <v>A02-K24-M</v>
          </cell>
          <cell r="G28">
            <v>2</v>
          </cell>
          <cell r="H28" t="str">
            <v>PROJ</v>
          </cell>
        </row>
        <row r="29">
          <cell r="B29">
            <v>323</v>
          </cell>
          <cell r="E29" t="str">
            <v>A03-K24-AM</v>
          </cell>
          <cell r="G29">
            <v>2</v>
          </cell>
          <cell r="H29" t="str">
            <v>PROJ</v>
          </cell>
        </row>
        <row r="30">
          <cell r="B30">
            <v>324</v>
          </cell>
          <cell r="E30" t="str">
            <v>A07-K24</v>
          </cell>
          <cell r="G30">
            <v>2</v>
          </cell>
          <cell r="H30" t="str">
            <v>PROJ</v>
          </cell>
        </row>
        <row r="31">
          <cell r="B31">
            <v>325</v>
          </cell>
          <cell r="E31" t="str">
            <v>B02L-K24</v>
          </cell>
          <cell r="G31">
            <v>2</v>
          </cell>
          <cell r="H31" t="str">
            <v>PROJ</v>
          </cell>
        </row>
        <row r="32">
          <cell r="B32">
            <v>326</v>
          </cell>
          <cell r="E32" t="str">
            <v>B03L-K24-A</v>
          </cell>
          <cell r="G32">
            <v>2</v>
          </cell>
          <cell r="H32" t="str">
            <v>PROJ</v>
          </cell>
        </row>
        <row r="33">
          <cell r="B33">
            <v>327</v>
          </cell>
          <cell r="E33" t="str">
            <v>B04L-K24-A</v>
          </cell>
          <cell r="G33">
            <v>2</v>
          </cell>
          <cell r="H33" t="str">
            <v>PROJ</v>
          </cell>
        </row>
        <row r="34">
          <cell r="B34">
            <v>328</v>
          </cell>
          <cell r="E34" t="str">
            <v>A07-K24-A</v>
          </cell>
          <cell r="G34">
            <v>2</v>
          </cell>
          <cell r="H34" t="str">
            <v>PROJ</v>
          </cell>
        </row>
        <row r="35">
          <cell r="B35">
            <v>329</v>
          </cell>
          <cell r="E35" t="str">
            <v>A07-K24-AM</v>
          </cell>
          <cell r="G35">
            <v>2</v>
          </cell>
          <cell r="H35" t="str">
            <v>PROJ</v>
          </cell>
        </row>
        <row r="36">
          <cell r="B36">
            <v>330</v>
          </cell>
          <cell r="E36" t="str">
            <v>A09-K24-M</v>
          </cell>
          <cell r="G36">
            <v>2</v>
          </cell>
          <cell r="H36" t="str">
            <v>PROJ</v>
          </cell>
        </row>
        <row r="37">
          <cell r="B37">
            <v>331</v>
          </cell>
          <cell r="E37" t="str">
            <v>C2-K30</v>
          </cell>
          <cell r="G37">
            <v>2</v>
          </cell>
          <cell r="H37" t="str">
            <v>PROJ</v>
          </cell>
        </row>
        <row r="38">
          <cell r="B38">
            <v>332</v>
          </cell>
          <cell r="E38" t="str">
            <v>C3-K30-A</v>
          </cell>
          <cell r="G38">
            <v>2</v>
          </cell>
          <cell r="H38" t="str">
            <v>PROJ</v>
          </cell>
        </row>
        <row r="39">
          <cell r="B39">
            <v>333</v>
          </cell>
          <cell r="E39" t="str">
            <v>B01L-K30</v>
          </cell>
          <cell r="G39">
            <v>2</v>
          </cell>
          <cell r="H39" t="str">
            <v>PROJ</v>
          </cell>
        </row>
        <row r="40">
          <cell r="B40">
            <v>335</v>
          </cell>
          <cell r="E40" t="str">
            <v>A02-K24</v>
          </cell>
          <cell r="G40">
            <v>2</v>
          </cell>
          <cell r="H40" t="str">
            <v>PROJ</v>
          </cell>
        </row>
        <row r="41">
          <cell r="B41">
            <v>336</v>
          </cell>
          <cell r="E41" t="str">
            <v>A03-K24</v>
          </cell>
          <cell r="G41">
            <v>2</v>
          </cell>
          <cell r="H41" t="str">
            <v>PROJ</v>
          </cell>
        </row>
        <row r="42">
          <cell r="B42">
            <v>337</v>
          </cell>
          <cell r="E42" t="str">
            <v>A07-K24-M</v>
          </cell>
          <cell r="G42">
            <v>2</v>
          </cell>
          <cell r="H42" t="str">
            <v>PROJ</v>
          </cell>
        </row>
        <row r="43">
          <cell r="B43">
            <v>338</v>
          </cell>
          <cell r="E43" t="str">
            <v>A07-K24</v>
          </cell>
          <cell r="G43">
            <v>2</v>
          </cell>
          <cell r="H43" t="str">
            <v>PROJ</v>
          </cell>
        </row>
        <row r="44">
          <cell r="B44">
            <v>339</v>
          </cell>
          <cell r="E44" t="str">
            <v>A10-K30</v>
          </cell>
          <cell r="G44">
            <v>2</v>
          </cell>
          <cell r="H44" t="str">
            <v>PROJ</v>
          </cell>
        </row>
        <row r="45">
          <cell r="B45">
            <v>340</v>
          </cell>
          <cell r="E45" t="str">
            <v>A01-K24-M</v>
          </cell>
          <cell r="G45">
            <v>2</v>
          </cell>
          <cell r="H45" t="str">
            <v>PROJ</v>
          </cell>
        </row>
        <row r="46">
          <cell r="B46">
            <v>341</v>
          </cell>
          <cell r="E46" t="str">
            <v>A04-K24</v>
          </cell>
          <cell r="G46">
            <v>2</v>
          </cell>
          <cell r="H46" t="str">
            <v>PROJ</v>
          </cell>
        </row>
        <row r="47">
          <cell r="B47">
            <v>342</v>
          </cell>
          <cell r="E47" t="str">
            <v>A03-K24-M</v>
          </cell>
          <cell r="G47">
            <v>2</v>
          </cell>
          <cell r="H47" t="str">
            <v>PROJ</v>
          </cell>
        </row>
        <row r="48">
          <cell r="B48">
            <v>343</v>
          </cell>
          <cell r="E48" t="str">
            <v>B06L-K24</v>
          </cell>
          <cell r="G48">
            <v>3</v>
          </cell>
          <cell r="H48" t="str">
            <v>PROJ</v>
          </cell>
        </row>
        <row r="49">
          <cell r="B49">
            <v>344</v>
          </cell>
          <cell r="E49" t="str">
            <v>A03-K24-M</v>
          </cell>
          <cell r="G49">
            <v>3</v>
          </cell>
          <cell r="H49" t="str">
            <v>PROJ</v>
          </cell>
        </row>
        <row r="50">
          <cell r="B50">
            <v>345</v>
          </cell>
          <cell r="E50" t="str">
            <v>A03-K24-M</v>
          </cell>
          <cell r="G50">
            <v>3</v>
          </cell>
          <cell r="H50" t="str">
            <v>PROJ</v>
          </cell>
        </row>
        <row r="51">
          <cell r="B51">
            <v>346</v>
          </cell>
          <cell r="E51" t="str">
            <v>A03-K24-M</v>
          </cell>
          <cell r="G51">
            <v>3</v>
          </cell>
          <cell r="H51" t="str">
            <v>PROJ</v>
          </cell>
        </row>
        <row r="52">
          <cell r="B52">
            <v>347</v>
          </cell>
          <cell r="E52" t="str">
            <v>A03-K24-M</v>
          </cell>
          <cell r="G52">
            <v>3</v>
          </cell>
          <cell r="H52" t="str">
            <v>PROJ</v>
          </cell>
        </row>
        <row r="53">
          <cell r="B53">
            <v>348</v>
          </cell>
          <cell r="E53" t="str">
            <v>A02-K24</v>
          </cell>
          <cell r="G53">
            <v>3</v>
          </cell>
          <cell r="H53" t="str">
            <v>PROJ</v>
          </cell>
        </row>
        <row r="54">
          <cell r="B54">
            <v>349</v>
          </cell>
          <cell r="E54" t="str">
            <v>A07-K24-A</v>
          </cell>
          <cell r="G54">
            <v>3</v>
          </cell>
          <cell r="H54" t="str">
            <v>PROJ</v>
          </cell>
        </row>
        <row r="55">
          <cell r="B55">
            <v>350</v>
          </cell>
          <cell r="E55" t="str">
            <v>A07-K24</v>
          </cell>
          <cell r="G55" t="str">
            <v>H1</v>
          </cell>
          <cell r="H55" t="str">
            <v>PROJ</v>
          </cell>
        </row>
        <row r="56">
          <cell r="B56">
            <v>351</v>
          </cell>
          <cell r="E56" t="str">
            <v>A03-K24-A</v>
          </cell>
          <cell r="G56" t="str">
            <v>H1</v>
          </cell>
          <cell r="H56" t="str">
            <v>PROJ</v>
          </cell>
        </row>
        <row r="57">
          <cell r="B57">
            <v>352</v>
          </cell>
          <cell r="E57" t="str">
            <v>A02-K24-A</v>
          </cell>
          <cell r="G57">
            <v>3</v>
          </cell>
          <cell r="H57" t="str">
            <v>PROJ</v>
          </cell>
        </row>
        <row r="58">
          <cell r="B58">
            <v>353</v>
          </cell>
          <cell r="E58" t="str">
            <v>A07-K24-M</v>
          </cell>
          <cell r="G58">
            <v>3</v>
          </cell>
          <cell r="H58" t="str">
            <v>PROJ</v>
          </cell>
        </row>
        <row r="59">
          <cell r="B59">
            <v>354</v>
          </cell>
          <cell r="E59" t="str">
            <v>A11-K30</v>
          </cell>
          <cell r="G59">
            <v>3</v>
          </cell>
          <cell r="H59" t="str">
            <v>PROJ</v>
          </cell>
        </row>
        <row r="60">
          <cell r="B60">
            <v>356</v>
          </cell>
          <cell r="E60" t="str">
            <v>B02L-K24</v>
          </cell>
          <cell r="G60">
            <v>3</v>
          </cell>
          <cell r="H60" t="str">
            <v>PROJ</v>
          </cell>
        </row>
        <row r="61">
          <cell r="B61">
            <v>357</v>
          </cell>
          <cell r="E61" t="str">
            <v>A03-K24-M</v>
          </cell>
          <cell r="G61">
            <v>3</v>
          </cell>
          <cell r="H61" t="str">
            <v>PROJ</v>
          </cell>
        </row>
        <row r="62">
          <cell r="B62">
            <v>358</v>
          </cell>
          <cell r="E62" t="str">
            <v>B12L-K24</v>
          </cell>
          <cell r="G62">
            <v>3</v>
          </cell>
          <cell r="H62" t="str">
            <v>PROJ</v>
          </cell>
        </row>
        <row r="63">
          <cell r="B63">
            <v>401</v>
          </cell>
          <cell r="E63" t="str">
            <v>A01-K24-A</v>
          </cell>
          <cell r="G63">
            <v>3</v>
          </cell>
          <cell r="H63" t="str">
            <v>PROJ</v>
          </cell>
        </row>
        <row r="64">
          <cell r="B64">
            <v>402</v>
          </cell>
          <cell r="E64" t="str">
            <v>A02-K24</v>
          </cell>
          <cell r="G64">
            <v>3</v>
          </cell>
          <cell r="H64" t="str">
            <v>PROJ</v>
          </cell>
        </row>
        <row r="65">
          <cell r="B65">
            <v>403</v>
          </cell>
          <cell r="E65" t="str">
            <v>A03-K24-A</v>
          </cell>
          <cell r="G65">
            <v>3</v>
          </cell>
          <cell r="H65" t="str">
            <v>PROJ</v>
          </cell>
        </row>
        <row r="66">
          <cell r="B66">
            <v>404</v>
          </cell>
          <cell r="E66" t="str">
            <v>A03-K24-M</v>
          </cell>
          <cell r="G66">
            <v>3</v>
          </cell>
          <cell r="H66" t="str">
            <v>PROJ</v>
          </cell>
        </row>
        <row r="67">
          <cell r="B67">
            <v>405</v>
          </cell>
          <cell r="E67" t="str">
            <v>A03-K24-M</v>
          </cell>
          <cell r="G67">
            <v>3</v>
          </cell>
          <cell r="H67" t="str">
            <v>PROJ</v>
          </cell>
        </row>
        <row r="68">
          <cell r="B68">
            <v>406</v>
          </cell>
          <cell r="E68" t="str">
            <v>A07-K24</v>
          </cell>
          <cell r="G68">
            <v>3</v>
          </cell>
          <cell r="H68" t="str">
            <v>PROJ</v>
          </cell>
        </row>
        <row r="69">
          <cell r="B69">
            <v>407</v>
          </cell>
          <cell r="E69" t="str">
            <v>A03-K24</v>
          </cell>
          <cell r="G69">
            <v>3</v>
          </cell>
          <cell r="H69" t="str">
            <v>PROJ</v>
          </cell>
        </row>
        <row r="70">
          <cell r="B70">
            <v>408</v>
          </cell>
          <cell r="E70" t="str">
            <v>C4-K24</v>
          </cell>
          <cell r="G70">
            <v>4</v>
          </cell>
          <cell r="H70" t="str">
            <v>PROJ</v>
          </cell>
        </row>
        <row r="71">
          <cell r="B71">
            <v>409</v>
          </cell>
          <cell r="E71" t="str">
            <v>A03-K24</v>
          </cell>
          <cell r="G71">
            <v>4</v>
          </cell>
          <cell r="H71" t="str">
            <v>PROJ</v>
          </cell>
        </row>
        <row r="72">
          <cell r="B72">
            <v>410</v>
          </cell>
          <cell r="E72" t="str">
            <v>A03-K24-M</v>
          </cell>
          <cell r="G72">
            <v>4</v>
          </cell>
          <cell r="H72" t="str">
            <v>PROJ</v>
          </cell>
        </row>
        <row r="73">
          <cell r="B73">
            <v>411</v>
          </cell>
          <cell r="E73" t="str">
            <v>A03-K24-M</v>
          </cell>
          <cell r="G73">
            <v>4</v>
          </cell>
          <cell r="H73" t="str">
            <v>PROJ</v>
          </cell>
        </row>
        <row r="74">
          <cell r="B74">
            <v>412</v>
          </cell>
          <cell r="E74" t="str">
            <v>A02-K24</v>
          </cell>
          <cell r="G74">
            <v>4</v>
          </cell>
          <cell r="H74" t="str">
            <v>PROJ</v>
          </cell>
        </row>
        <row r="75">
          <cell r="B75">
            <v>413</v>
          </cell>
          <cell r="E75" t="str">
            <v>C1-K30</v>
          </cell>
          <cell r="G75">
            <v>4</v>
          </cell>
          <cell r="H75" t="str">
            <v>PROJ</v>
          </cell>
        </row>
        <row r="76">
          <cell r="B76">
            <v>414</v>
          </cell>
          <cell r="E76" t="str">
            <v>A07-K24-M</v>
          </cell>
          <cell r="G76">
            <v>4</v>
          </cell>
          <cell r="H76" t="str">
            <v>PROJ</v>
          </cell>
        </row>
        <row r="77">
          <cell r="B77">
            <v>415</v>
          </cell>
          <cell r="E77" t="str">
            <v>A04-K24</v>
          </cell>
          <cell r="G77">
            <v>4</v>
          </cell>
          <cell r="H77" t="str">
            <v>PROJ</v>
          </cell>
        </row>
        <row r="78">
          <cell r="B78">
            <v>416</v>
          </cell>
          <cell r="E78" t="str">
            <v>A01-K24-M</v>
          </cell>
          <cell r="G78">
            <v>4</v>
          </cell>
          <cell r="H78" t="str">
            <v>PROJ</v>
          </cell>
        </row>
        <row r="79">
          <cell r="B79">
            <v>417</v>
          </cell>
          <cell r="E79" t="str">
            <v>A05-K30</v>
          </cell>
          <cell r="G79">
            <v>4</v>
          </cell>
          <cell r="H79" t="str">
            <v>PROJ</v>
          </cell>
        </row>
        <row r="80">
          <cell r="B80">
            <v>418</v>
          </cell>
          <cell r="E80" t="str">
            <v>A02-K24-A</v>
          </cell>
          <cell r="G80">
            <v>4</v>
          </cell>
          <cell r="H80" t="str">
            <v>PROJ</v>
          </cell>
        </row>
        <row r="81">
          <cell r="B81">
            <v>419</v>
          </cell>
          <cell r="E81" t="str">
            <v>A03-K24-M</v>
          </cell>
          <cell r="G81">
            <v>4</v>
          </cell>
          <cell r="H81" t="str">
            <v>PROJ</v>
          </cell>
        </row>
        <row r="82">
          <cell r="B82">
            <v>420</v>
          </cell>
          <cell r="E82" t="str">
            <v>A02-K24-AM</v>
          </cell>
          <cell r="G82">
            <v>4</v>
          </cell>
          <cell r="H82" t="str">
            <v>PROJ</v>
          </cell>
        </row>
        <row r="83">
          <cell r="B83">
            <v>421</v>
          </cell>
          <cell r="E83" t="str">
            <v>A06-K24-AM</v>
          </cell>
          <cell r="G83">
            <v>4</v>
          </cell>
          <cell r="H83" t="str">
            <v>PROJ</v>
          </cell>
        </row>
        <row r="84">
          <cell r="B84">
            <v>422</v>
          </cell>
          <cell r="E84" t="str">
            <v>A02-K24-M</v>
          </cell>
          <cell r="G84">
            <v>4</v>
          </cell>
          <cell r="H84" t="str">
            <v>PROJ</v>
          </cell>
        </row>
        <row r="85">
          <cell r="B85">
            <v>423</v>
          </cell>
          <cell r="E85" t="str">
            <v>A03-K24-AM</v>
          </cell>
          <cell r="G85">
            <v>4</v>
          </cell>
          <cell r="H85" t="str">
            <v>PROJ</v>
          </cell>
        </row>
        <row r="86">
          <cell r="B86">
            <v>424</v>
          </cell>
          <cell r="E86" t="str">
            <v>A07-K24</v>
          </cell>
          <cell r="G86">
            <v>4</v>
          </cell>
          <cell r="H86" t="str">
            <v>PROJ</v>
          </cell>
        </row>
        <row r="87">
          <cell r="B87">
            <v>425</v>
          </cell>
          <cell r="E87" t="str">
            <v>B02L-K24</v>
          </cell>
          <cell r="G87">
            <v>4</v>
          </cell>
          <cell r="H87" t="str">
            <v>PROJ</v>
          </cell>
        </row>
        <row r="88">
          <cell r="B88">
            <v>426</v>
          </cell>
          <cell r="E88" t="str">
            <v>B03L-K24-A</v>
          </cell>
          <cell r="G88">
            <v>5</v>
          </cell>
          <cell r="H88" t="str">
            <v>PROJ</v>
          </cell>
        </row>
        <row r="89">
          <cell r="B89">
            <v>427</v>
          </cell>
          <cell r="E89" t="str">
            <v>B04L-K24-A</v>
          </cell>
          <cell r="G89">
            <v>5</v>
          </cell>
          <cell r="H89" t="str">
            <v>PROJ</v>
          </cell>
        </row>
        <row r="90">
          <cell r="B90">
            <v>428</v>
          </cell>
          <cell r="E90" t="str">
            <v>A07-K24-A</v>
          </cell>
          <cell r="G90">
            <v>5</v>
          </cell>
          <cell r="H90" t="str">
            <v>PROJ</v>
          </cell>
        </row>
        <row r="91">
          <cell r="B91">
            <v>429</v>
          </cell>
          <cell r="E91" t="str">
            <v>A07-K24-AM</v>
          </cell>
          <cell r="G91">
            <v>5</v>
          </cell>
          <cell r="H91" t="str">
            <v>PROJ</v>
          </cell>
        </row>
        <row r="92">
          <cell r="B92">
            <v>430</v>
          </cell>
          <cell r="E92" t="str">
            <v>A09-K24-M</v>
          </cell>
          <cell r="G92">
            <v>5</v>
          </cell>
          <cell r="H92" t="str">
            <v>PROJ</v>
          </cell>
        </row>
        <row r="93">
          <cell r="B93">
            <v>431</v>
          </cell>
          <cell r="E93" t="str">
            <v>C2-K30</v>
          </cell>
          <cell r="G93">
            <v>5</v>
          </cell>
          <cell r="H93" t="str">
            <v>PROJ</v>
          </cell>
        </row>
        <row r="94">
          <cell r="B94">
            <v>432</v>
          </cell>
          <cell r="E94" t="str">
            <v>C3-K30-A</v>
          </cell>
          <cell r="G94">
            <v>5</v>
          </cell>
          <cell r="H94" t="str">
            <v>PROJ</v>
          </cell>
        </row>
        <row r="95">
          <cell r="B95">
            <v>433</v>
          </cell>
          <cell r="E95" t="str">
            <v>B01L-K30</v>
          </cell>
          <cell r="G95">
            <v>5</v>
          </cell>
          <cell r="H95" t="str">
            <v>PROJ</v>
          </cell>
        </row>
        <row r="96">
          <cell r="B96">
            <v>434</v>
          </cell>
          <cell r="E96" t="str">
            <v>A07-K24</v>
          </cell>
          <cell r="G96">
            <v>5</v>
          </cell>
          <cell r="H96" t="str">
            <v>PROJ</v>
          </cell>
        </row>
        <row r="97">
          <cell r="B97">
            <v>435</v>
          </cell>
          <cell r="E97" t="str">
            <v>A02-K24</v>
          </cell>
          <cell r="G97">
            <v>5</v>
          </cell>
          <cell r="H97" t="str">
            <v>PROJ</v>
          </cell>
        </row>
        <row r="98">
          <cell r="B98">
            <v>436</v>
          </cell>
          <cell r="E98" t="str">
            <v>A03-K24</v>
          </cell>
          <cell r="G98">
            <v>5</v>
          </cell>
          <cell r="H98" t="str">
            <v>PROJ</v>
          </cell>
        </row>
        <row r="99">
          <cell r="B99">
            <v>437</v>
          </cell>
          <cell r="E99" t="str">
            <v>A07-K24-M</v>
          </cell>
          <cell r="G99">
            <v>5</v>
          </cell>
          <cell r="H99" t="str">
            <v>PROJ</v>
          </cell>
        </row>
        <row r="100">
          <cell r="B100">
            <v>438</v>
          </cell>
          <cell r="E100" t="str">
            <v>A07-K24</v>
          </cell>
          <cell r="G100">
            <v>5</v>
          </cell>
          <cell r="H100" t="str">
            <v>PROJ</v>
          </cell>
        </row>
        <row r="101">
          <cell r="B101">
            <v>439</v>
          </cell>
          <cell r="E101" t="str">
            <v>A10-K30</v>
          </cell>
          <cell r="G101">
            <v>5</v>
          </cell>
          <cell r="H101" t="str">
            <v>PROJ</v>
          </cell>
        </row>
        <row r="102">
          <cell r="B102">
            <v>440</v>
          </cell>
          <cell r="E102" t="str">
            <v>A01-K24-M</v>
          </cell>
          <cell r="G102">
            <v>5</v>
          </cell>
          <cell r="H102" t="str">
            <v>PROJ</v>
          </cell>
        </row>
        <row r="103">
          <cell r="B103">
            <v>441</v>
          </cell>
          <cell r="E103" t="str">
            <v>A04-K24</v>
          </cell>
          <cell r="G103">
            <v>5</v>
          </cell>
          <cell r="H103" t="str">
            <v>PROJ</v>
          </cell>
        </row>
        <row r="104">
          <cell r="B104">
            <v>442</v>
          </cell>
          <cell r="E104" t="str">
            <v>A03-K24-M</v>
          </cell>
          <cell r="G104">
            <v>5</v>
          </cell>
          <cell r="H104" t="str">
            <v>PROJ</v>
          </cell>
        </row>
        <row r="105">
          <cell r="B105">
            <v>443</v>
          </cell>
          <cell r="E105" t="str">
            <v>B06L-K24</v>
          </cell>
          <cell r="G105">
            <v>5</v>
          </cell>
          <cell r="H105" t="str">
            <v>PROJ</v>
          </cell>
        </row>
        <row r="106">
          <cell r="B106">
            <v>444</v>
          </cell>
          <cell r="E106" t="str">
            <v>A03-K24-M</v>
          </cell>
          <cell r="G106">
            <v>6</v>
          </cell>
          <cell r="H106" t="str">
            <v>PROJ</v>
          </cell>
        </row>
        <row r="107">
          <cell r="B107">
            <v>445</v>
          </cell>
          <cell r="E107" t="str">
            <v>A03-K24-M</v>
          </cell>
          <cell r="G107">
            <v>6</v>
          </cell>
          <cell r="H107" t="str">
            <v>PROJ</v>
          </cell>
        </row>
        <row r="108">
          <cell r="B108">
            <v>446</v>
          </cell>
          <cell r="E108" t="str">
            <v>A03-K24-M</v>
          </cell>
          <cell r="G108">
            <v>6</v>
          </cell>
          <cell r="H108" t="str">
            <v>PROJ</v>
          </cell>
        </row>
        <row r="109">
          <cell r="B109">
            <v>447</v>
          </cell>
          <cell r="E109" t="str">
            <v>A03-K24-M</v>
          </cell>
          <cell r="G109">
            <v>6</v>
          </cell>
          <cell r="H109" t="str">
            <v>PROJ</v>
          </cell>
        </row>
        <row r="110">
          <cell r="B110">
            <v>448</v>
          </cell>
          <cell r="E110" t="str">
            <v>A02-K24</v>
          </cell>
          <cell r="G110">
            <v>6</v>
          </cell>
          <cell r="H110" t="str">
            <v>PROJ</v>
          </cell>
        </row>
        <row r="111">
          <cell r="B111">
            <v>449</v>
          </cell>
          <cell r="E111" t="str">
            <v>A07-K24-A</v>
          </cell>
          <cell r="G111">
            <v>6</v>
          </cell>
          <cell r="H111" t="str">
            <v>PROJ</v>
          </cell>
        </row>
        <row r="112">
          <cell r="B112">
            <v>450</v>
          </cell>
          <cell r="E112" t="str">
            <v>A07-K24</v>
          </cell>
          <cell r="G112" t="str">
            <v>H1</v>
          </cell>
          <cell r="H112" t="str">
            <v>PROJ</v>
          </cell>
        </row>
        <row r="113">
          <cell r="B113">
            <v>451</v>
          </cell>
          <cell r="E113" t="str">
            <v>A03-K24-A</v>
          </cell>
          <cell r="G113" t="str">
            <v>H1</v>
          </cell>
          <cell r="H113" t="str">
            <v>PROJ</v>
          </cell>
        </row>
        <row r="114">
          <cell r="B114">
            <v>452</v>
          </cell>
          <cell r="E114" t="str">
            <v>A02-K24-A</v>
          </cell>
          <cell r="G114">
            <v>6</v>
          </cell>
          <cell r="H114" t="str">
            <v>PROJ</v>
          </cell>
        </row>
        <row r="115">
          <cell r="B115">
            <v>453</v>
          </cell>
          <cell r="E115" t="str">
            <v>A07-K24-M</v>
          </cell>
          <cell r="G115">
            <v>6</v>
          </cell>
          <cell r="H115" t="str">
            <v>PROJ</v>
          </cell>
        </row>
        <row r="116">
          <cell r="B116">
            <v>454</v>
          </cell>
          <cell r="E116" t="str">
            <v>B04L-K24-M</v>
          </cell>
          <cell r="G116">
            <v>6</v>
          </cell>
          <cell r="H116" t="str">
            <v>PROJ</v>
          </cell>
        </row>
        <row r="117">
          <cell r="B117">
            <v>455</v>
          </cell>
          <cell r="E117" t="str">
            <v>A01-K24-M</v>
          </cell>
          <cell r="G117">
            <v>6</v>
          </cell>
          <cell r="H117" t="str">
            <v>PROJ</v>
          </cell>
        </row>
        <row r="118">
          <cell r="B118">
            <v>456</v>
          </cell>
          <cell r="E118" t="str">
            <v>B08L-K24</v>
          </cell>
          <cell r="G118">
            <v>6</v>
          </cell>
          <cell r="H118" t="str">
            <v>PROJ</v>
          </cell>
        </row>
        <row r="119">
          <cell r="B119">
            <v>457</v>
          </cell>
          <cell r="E119" t="str">
            <v>A03-K24-M</v>
          </cell>
          <cell r="G119">
            <v>6</v>
          </cell>
          <cell r="H119" t="str">
            <v>PROJ</v>
          </cell>
        </row>
        <row r="120">
          <cell r="B120">
            <v>458</v>
          </cell>
          <cell r="E120" t="str">
            <v>B12L-K24</v>
          </cell>
          <cell r="G120">
            <v>6</v>
          </cell>
          <cell r="H120" t="str">
            <v>PROJ</v>
          </cell>
        </row>
        <row r="121">
          <cell r="B121">
            <v>501</v>
          </cell>
          <cell r="E121" t="str">
            <v>A01-K24-A</v>
          </cell>
          <cell r="G121">
            <v>6</v>
          </cell>
          <cell r="H121" t="str">
            <v>PROJ</v>
          </cell>
        </row>
        <row r="122">
          <cell r="B122">
            <v>502</v>
          </cell>
          <cell r="E122" t="str">
            <v>A02-K24</v>
          </cell>
          <cell r="G122">
            <v>6</v>
          </cell>
          <cell r="H122" t="str">
            <v>PROJ</v>
          </cell>
        </row>
        <row r="123">
          <cell r="B123">
            <v>503</v>
          </cell>
          <cell r="E123" t="str">
            <v>A03-K24-A</v>
          </cell>
          <cell r="G123">
            <v>6</v>
          </cell>
          <cell r="H123" t="str">
            <v>PROJ</v>
          </cell>
        </row>
        <row r="124">
          <cell r="B124">
            <v>504</v>
          </cell>
          <cell r="E124" t="str">
            <v>A03-K24-M</v>
          </cell>
          <cell r="G124">
            <v>7</v>
          </cell>
          <cell r="H124" t="str">
            <v>PROJ</v>
          </cell>
        </row>
        <row r="125">
          <cell r="B125">
            <v>505</v>
          </cell>
          <cell r="E125" t="str">
            <v>A03-K24-M</v>
          </cell>
          <cell r="G125">
            <v>7</v>
          </cell>
          <cell r="H125" t="str">
            <v>PROJ</v>
          </cell>
        </row>
        <row r="126">
          <cell r="B126">
            <v>506</v>
          </cell>
          <cell r="E126" t="str">
            <v>A07-K24</v>
          </cell>
          <cell r="G126">
            <v>7</v>
          </cell>
          <cell r="H126" t="str">
            <v>PROJ</v>
          </cell>
        </row>
        <row r="127">
          <cell r="B127">
            <v>507</v>
          </cell>
          <cell r="E127" t="str">
            <v>A03-K24</v>
          </cell>
          <cell r="G127">
            <v>7</v>
          </cell>
          <cell r="H127" t="str">
            <v>PROJ</v>
          </cell>
        </row>
        <row r="128">
          <cell r="B128">
            <v>508</v>
          </cell>
          <cell r="E128" t="str">
            <v>C4-K24</v>
          </cell>
          <cell r="G128">
            <v>7</v>
          </cell>
          <cell r="H128" t="str">
            <v>PROJ</v>
          </cell>
        </row>
        <row r="129">
          <cell r="B129">
            <v>509</v>
          </cell>
          <cell r="E129" t="str">
            <v>A03-K24</v>
          </cell>
          <cell r="G129">
            <v>7</v>
          </cell>
          <cell r="H129" t="str">
            <v>PROJ</v>
          </cell>
        </row>
        <row r="130">
          <cell r="B130">
            <v>510</v>
          </cell>
          <cell r="E130" t="str">
            <v>A03-K24-M</v>
          </cell>
          <cell r="G130">
            <v>7</v>
          </cell>
          <cell r="H130" t="str">
            <v>PROJ</v>
          </cell>
        </row>
        <row r="131">
          <cell r="B131">
            <v>511</v>
          </cell>
          <cell r="E131" t="str">
            <v>A03-K24-M</v>
          </cell>
          <cell r="G131">
            <v>7</v>
          </cell>
          <cell r="H131" t="str">
            <v>PROJ</v>
          </cell>
        </row>
        <row r="132">
          <cell r="B132">
            <v>512</v>
          </cell>
          <cell r="E132" t="str">
            <v>A02-K24</v>
          </cell>
          <cell r="G132">
            <v>7</v>
          </cell>
          <cell r="H132" t="str">
            <v>PROJ</v>
          </cell>
        </row>
        <row r="133">
          <cell r="B133">
            <v>513</v>
          </cell>
          <cell r="E133" t="str">
            <v>C1-K30</v>
          </cell>
          <cell r="G133">
            <v>7</v>
          </cell>
          <cell r="H133" t="str">
            <v>PROJ</v>
          </cell>
        </row>
        <row r="134">
          <cell r="B134">
            <v>514</v>
          </cell>
          <cell r="E134" t="str">
            <v>A07-K24-M</v>
          </cell>
          <cell r="G134">
            <v>7</v>
          </cell>
          <cell r="H134" t="str">
            <v>PROJ</v>
          </cell>
        </row>
        <row r="135">
          <cell r="B135">
            <v>515</v>
          </cell>
          <cell r="E135" t="str">
            <v>A04-K24</v>
          </cell>
          <cell r="G135">
            <v>7</v>
          </cell>
          <cell r="H135" t="str">
            <v>PROJ</v>
          </cell>
        </row>
        <row r="136">
          <cell r="B136">
            <v>516</v>
          </cell>
          <cell r="E136" t="str">
            <v>A01-K24-M</v>
          </cell>
          <cell r="G136">
            <v>7</v>
          </cell>
          <cell r="H136" t="str">
            <v>PROJ</v>
          </cell>
        </row>
        <row r="137">
          <cell r="B137">
            <v>517</v>
          </cell>
          <cell r="E137" t="str">
            <v>A05-K30</v>
          </cell>
          <cell r="G137">
            <v>7</v>
          </cell>
          <cell r="H137" t="str">
            <v>PROJ</v>
          </cell>
        </row>
        <row r="138">
          <cell r="B138">
            <v>518</v>
          </cell>
          <cell r="E138" t="str">
            <v>A02-K24-A</v>
          </cell>
          <cell r="G138">
            <v>7</v>
          </cell>
          <cell r="H138" t="str">
            <v>PROJ</v>
          </cell>
        </row>
        <row r="139">
          <cell r="B139">
            <v>519</v>
          </cell>
          <cell r="E139" t="str">
            <v>A03-K24-M</v>
          </cell>
          <cell r="G139">
            <v>7</v>
          </cell>
          <cell r="H139" t="str">
            <v>PROJ</v>
          </cell>
        </row>
        <row r="140">
          <cell r="B140">
            <v>520</v>
          </cell>
          <cell r="E140" t="str">
            <v>A02-K24-AM</v>
          </cell>
          <cell r="G140">
            <v>7</v>
          </cell>
          <cell r="H140" t="str">
            <v>PROJ</v>
          </cell>
        </row>
        <row r="141">
          <cell r="B141">
            <v>521</v>
          </cell>
          <cell r="E141" t="str">
            <v>A06-K24-AM</v>
          </cell>
          <cell r="G141">
            <v>7</v>
          </cell>
          <cell r="H141" t="str">
            <v>PROJ</v>
          </cell>
        </row>
        <row r="142">
          <cell r="B142">
            <v>522</v>
          </cell>
          <cell r="E142" t="str">
            <v>A02-K24-M</v>
          </cell>
          <cell r="G142">
            <v>8</v>
          </cell>
          <cell r="H142" t="str">
            <v>PROJ</v>
          </cell>
        </row>
        <row r="143">
          <cell r="B143">
            <v>523</v>
          </cell>
          <cell r="E143" t="str">
            <v>A03-K24-AM</v>
          </cell>
          <cell r="G143">
            <v>8</v>
          </cell>
          <cell r="H143" t="str">
            <v>PROJ</v>
          </cell>
        </row>
        <row r="144">
          <cell r="B144">
            <v>524</v>
          </cell>
          <cell r="E144" t="str">
            <v>A07-K24</v>
          </cell>
          <cell r="G144">
            <v>8</v>
          </cell>
          <cell r="H144" t="str">
            <v>PROJ</v>
          </cell>
        </row>
        <row r="145">
          <cell r="B145">
            <v>525</v>
          </cell>
          <cell r="E145" t="str">
            <v>B02L-K24</v>
          </cell>
          <cell r="G145">
            <v>8</v>
          </cell>
          <cell r="H145" t="str">
            <v>PROJ</v>
          </cell>
        </row>
        <row r="146">
          <cell r="B146">
            <v>526</v>
          </cell>
          <cell r="E146" t="str">
            <v>B03L-K24-A</v>
          </cell>
          <cell r="G146">
            <v>8</v>
          </cell>
          <cell r="H146" t="str">
            <v>PROJ</v>
          </cell>
        </row>
        <row r="147">
          <cell r="B147">
            <v>527</v>
          </cell>
          <cell r="E147" t="str">
            <v>B04L-K24-A</v>
          </cell>
          <cell r="G147">
            <v>8</v>
          </cell>
          <cell r="H147" t="str">
            <v>PROJ</v>
          </cell>
        </row>
        <row r="148">
          <cell r="B148">
            <v>528</v>
          </cell>
          <cell r="E148" t="str">
            <v>A07-K24-A</v>
          </cell>
          <cell r="G148">
            <v>8</v>
          </cell>
          <cell r="H148" t="str">
            <v>PROJ</v>
          </cell>
        </row>
        <row r="149">
          <cell r="B149">
            <v>529</v>
          </cell>
          <cell r="E149" t="str">
            <v>A07-K24-AM</v>
          </cell>
          <cell r="G149">
            <v>8</v>
          </cell>
          <cell r="H149" t="str">
            <v>PROJ</v>
          </cell>
        </row>
        <row r="150">
          <cell r="B150">
            <v>530</v>
          </cell>
          <cell r="E150" t="str">
            <v>A09-K24-M</v>
          </cell>
          <cell r="G150">
            <v>8</v>
          </cell>
          <cell r="H150" t="str">
            <v>PROJ</v>
          </cell>
        </row>
        <row r="151">
          <cell r="B151">
            <v>531</v>
          </cell>
          <cell r="E151" t="str">
            <v>C2-K30</v>
          </cell>
          <cell r="G151">
            <v>8</v>
          </cell>
          <cell r="H151" t="str">
            <v>PROJ</v>
          </cell>
        </row>
        <row r="152">
          <cell r="B152">
            <v>532</v>
          </cell>
          <cell r="E152" t="str">
            <v>C3-K30-A</v>
          </cell>
          <cell r="G152">
            <v>8</v>
          </cell>
          <cell r="H152" t="str">
            <v>PROJ</v>
          </cell>
        </row>
        <row r="153">
          <cell r="B153">
            <v>533</v>
          </cell>
          <cell r="E153" t="str">
            <v>B01L-K30</v>
          </cell>
          <cell r="G153">
            <v>8</v>
          </cell>
          <cell r="H153" t="str">
            <v>PROJ</v>
          </cell>
        </row>
        <row r="154">
          <cell r="B154">
            <v>534</v>
          </cell>
          <cell r="E154" t="str">
            <v>A07-K24</v>
          </cell>
          <cell r="G154">
            <v>8</v>
          </cell>
          <cell r="H154" t="str">
            <v>PROJ</v>
          </cell>
        </row>
        <row r="155">
          <cell r="B155">
            <v>535</v>
          </cell>
          <cell r="E155" t="str">
            <v>A02-K24</v>
          </cell>
          <cell r="G155">
            <v>8</v>
          </cell>
          <cell r="H155" t="str">
            <v>PROJ</v>
          </cell>
        </row>
        <row r="156">
          <cell r="B156">
            <v>536</v>
          </cell>
          <cell r="E156" t="str">
            <v>A03-K24</v>
          </cell>
          <cell r="G156">
            <v>8</v>
          </cell>
          <cell r="H156" t="str">
            <v>PROJ</v>
          </cell>
        </row>
        <row r="157">
          <cell r="B157">
            <v>537</v>
          </cell>
          <cell r="E157" t="str">
            <v>A07-K24-M</v>
          </cell>
          <cell r="G157">
            <v>8</v>
          </cell>
          <cell r="H157" t="str">
            <v>PROJ</v>
          </cell>
        </row>
        <row r="158">
          <cell r="B158">
            <v>538</v>
          </cell>
          <cell r="E158" t="str">
            <v>A07-K24</v>
          </cell>
          <cell r="G158">
            <v>8</v>
          </cell>
          <cell r="H158" t="str">
            <v>PROJ</v>
          </cell>
        </row>
        <row r="159">
          <cell r="B159">
            <v>539</v>
          </cell>
          <cell r="E159" t="str">
            <v>A10-K30</v>
          </cell>
          <cell r="G159">
            <v>8</v>
          </cell>
          <cell r="H159" t="str">
            <v>PROJ</v>
          </cell>
        </row>
        <row r="160">
          <cell r="B160">
            <v>540</v>
          </cell>
          <cell r="E160" t="str">
            <v>A01-K24-M</v>
          </cell>
          <cell r="G160">
            <v>9</v>
          </cell>
          <cell r="H160" t="str">
            <v>PROJ</v>
          </cell>
        </row>
        <row r="161">
          <cell r="B161">
            <v>541</v>
          </cell>
          <cell r="E161" t="str">
            <v>A04-K24</v>
          </cell>
          <cell r="G161">
            <v>9</v>
          </cell>
          <cell r="H161" t="str">
            <v>PROJ</v>
          </cell>
        </row>
        <row r="162">
          <cell r="B162">
            <v>542</v>
          </cell>
          <cell r="E162" t="str">
            <v>A03-K24-M</v>
          </cell>
          <cell r="G162">
            <v>9</v>
          </cell>
          <cell r="H162" t="str">
            <v>PROJ</v>
          </cell>
        </row>
        <row r="163">
          <cell r="B163">
            <v>543</v>
          </cell>
          <cell r="E163" t="str">
            <v>B06L-K24</v>
          </cell>
          <cell r="G163">
            <v>9</v>
          </cell>
          <cell r="H163" t="str">
            <v>PROJ</v>
          </cell>
        </row>
        <row r="164">
          <cell r="B164">
            <v>544</v>
          </cell>
          <cell r="E164" t="str">
            <v>A03-K24-M</v>
          </cell>
          <cell r="G164">
            <v>9</v>
          </cell>
          <cell r="H164" t="str">
            <v>PROJ</v>
          </cell>
        </row>
        <row r="165">
          <cell r="B165">
            <v>545</v>
          </cell>
          <cell r="E165" t="str">
            <v>A03-K24-M</v>
          </cell>
          <cell r="G165">
            <v>9</v>
          </cell>
          <cell r="H165" t="str">
            <v>PROJ</v>
          </cell>
        </row>
        <row r="166">
          <cell r="B166">
            <v>546</v>
          </cell>
          <cell r="E166" t="str">
            <v>A03-K24-M</v>
          </cell>
          <cell r="G166">
            <v>9</v>
          </cell>
          <cell r="H166" t="str">
            <v>PROJ</v>
          </cell>
        </row>
        <row r="167">
          <cell r="B167">
            <v>547</v>
          </cell>
          <cell r="E167" t="str">
            <v>A03-K24-M</v>
          </cell>
          <cell r="G167">
            <v>9</v>
          </cell>
          <cell r="H167" t="str">
            <v>PROJ</v>
          </cell>
        </row>
        <row r="168">
          <cell r="B168">
            <v>548</v>
          </cell>
          <cell r="E168" t="str">
            <v>A02-K24</v>
          </cell>
          <cell r="G168">
            <v>9</v>
          </cell>
          <cell r="H168" t="str">
            <v>PROJ</v>
          </cell>
        </row>
        <row r="169">
          <cell r="B169">
            <v>549</v>
          </cell>
          <cell r="E169" t="str">
            <v>A07-K24-A</v>
          </cell>
          <cell r="G169">
            <v>9</v>
          </cell>
          <cell r="H169" t="str">
            <v>PROJ</v>
          </cell>
        </row>
        <row r="170">
          <cell r="B170">
            <v>550</v>
          </cell>
          <cell r="E170" t="str">
            <v>A07-K24</v>
          </cell>
          <cell r="G170" t="str">
            <v>H1</v>
          </cell>
          <cell r="H170" t="str">
            <v>PROJ</v>
          </cell>
        </row>
        <row r="171">
          <cell r="B171">
            <v>551</v>
          </cell>
          <cell r="E171" t="str">
            <v>A03-K24-A</v>
          </cell>
          <cell r="G171" t="str">
            <v>H1</v>
          </cell>
          <cell r="H171" t="str">
            <v>PROJ</v>
          </cell>
        </row>
        <row r="172">
          <cell r="B172">
            <v>552</v>
          </cell>
          <cell r="E172" t="str">
            <v>A02-K24-A</v>
          </cell>
          <cell r="G172">
            <v>9</v>
          </cell>
          <cell r="H172" t="str">
            <v>PROJ</v>
          </cell>
        </row>
        <row r="173">
          <cell r="B173">
            <v>553</v>
          </cell>
          <cell r="E173" t="str">
            <v>A07-K24-M</v>
          </cell>
          <cell r="G173">
            <v>9</v>
          </cell>
          <cell r="H173" t="str">
            <v>PROJ</v>
          </cell>
        </row>
        <row r="174">
          <cell r="B174">
            <v>554</v>
          </cell>
          <cell r="E174" t="str">
            <v>B04L-K24-M</v>
          </cell>
          <cell r="G174">
            <v>9</v>
          </cell>
          <cell r="H174" t="str">
            <v>PROJ</v>
          </cell>
        </row>
        <row r="175">
          <cell r="B175">
            <v>555</v>
          </cell>
          <cell r="E175" t="str">
            <v>A01-K24-M</v>
          </cell>
          <cell r="G175">
            <v>9</v>
          </cell>
          <cell r="H175" t="str">
            <v>PROJ</v>
          </cell>
        </row>
        <row r="176">
          <cell r="B176">
            <v>556</v>
          </cell>
          <cell r="E176" t="str">
            <v>B08L-K24</v>
          </cell>
          <cell r="G176">
            <v>9</v>
          </cell>
          <cell r="H176" t="str">
            <v>PROJ</v>
          </cell>
        </row>
        <row r="177">
          <cell r="B177">
            <v>557</v>
          </cell>
          <cell r="E177" t="str">
            <v>A03-K24-M</v>
          </cell>
          <cell r="G177">
            <v>9</v>
          </cell>
          <cell r="H177" t="str">
            <v>PROJ</v>
          </cell>
        </row>
        <row r="178">
          <cell r="B178">
            <v>558</v>
          </cell>
          <cell r="E178" t="str">
            <v>B12L-K24</v>
          </cell>
          <cell r="G178">
            <v>10</v>
          </cell>
          <cell r="H178" t="str">
            <v>PROJ</v>
          </cell>
        </row>
        <row r="179">
          <cell r="B179">
            <v>601</v>
          </cell>
          <cell r="E179" t="str">
            <v>A01-K24-A</v>
          </cell>
          <cell r="G179">
            <v>10</v>
          </cell>
          <cell r="H179" t="str">
            <v>PROJ</v>
          </cell>
        </row>
        <row r="180">
          <cell r="B180">
            <v>602</v>
          </cell>
          <cell r="E180" t="str">
            <v>A02-K24</v>
          </cell>
          <cell r="G180">
            <v>10</v>
          </cell>
          <cell r="H180" t="str">
            <v>PROJ</v>
          </cell>
        </row>
        <row r="181">
          <cell r="B181">
            <v>603</v>
          </cell>
          <cell r="E181" t="str">
            <v>A03-K24</v>
          </cell>
          <cell r="G181">
            <v>10</v>
          </cell>
          <cell r="H181" t="str">
            <v>PROJ</v>
          </cell>
        </row>
        <row r="182">
          <cell r="B182">
            <v>604</v>
          </cell>
          <cell r="E182" t="str">
            <v>A03-K24-M</v>
          </cell>
          <cell r="G182">
            <v>10</v>
          </cell>
          <cell r="H182" t="str">
            <v>PROJ</v>
          </cell>
        </row>
        <row r="183">
          <cell r="B183">
            <v>605</v>
          </cell>
          <cell r="E183" t="str">
            <v>A03-K24-M</v>
          </cell>
          <cell r="G183">
            <v>10</v>
          </cell>
          <cell r="H183" t="str">
            <v>PROJ</v>
          </cell>
        </row>
        <row r="184">
          <cell r="B184">
            <v>606</v>
          </cell>
          <cell r="E184" t="str">
            <v>A07-K24</v>
          </cell>
          <cell r="G184">
            <v>10</v>
          </cell>
          <cell r="H184" t="str">
            <v>PROJ</v>
          </cell>
        </row>
        <row r="185">
          <cell r="B185">
            <v>607</v>
          </cell>
          <cell r="E185" t="str">
            <v>A03-K24</v>
          </cell>
          <cell r="G185">
            <v>10</v>
          </cell>
          <cell r="H185" t="str">
            <v>PROJ</v>
          </cell>
        </row>
        <row r="186">
          <cell r="B186">
            <v>608</v>
          </cell>
          <cell r="E186" t="str">
            <v>C4-K24</v>
          </cell>
          <cell r="G186">
            <v>10</v>
          </cell>
          <cell r="H186" t="str">
            <v>PROJ</v>
          </cell>
        </row>
        <row r="187">
          <cell r="B187">
            <v>609</v>
          </cell>
          <cell r="E187" t="str">
            <v>A03-K24</v>
          </cell>
          <cell r="G187">
            <v>10</v>
          </cell>
          <cell r="H187" t="str">
            <v>PROJ</v>
          </cell>
        </row>
        <row r="188">
          <cell r="B188">
            <v>610</v>
          </cell>
          <cell r="E188" t="str">
            <v>A03-K24-M</v>
          </cell>
          <cell r="G188">
            <v>10</v>
          </cell>
          <cell r="H188" t="str">
            <v>PROJ</v>
          </cell>
        </row>
        <row r="189">
          <cell r="B189">
            <v>611</v>
          </cell>
          <cell r="E189" t="str">
            <v>A03-K24-M</v>
          </cell>
          <cell r="G189">
            <v>10</v>
          </cell>
          <cell r="H189" t="str">
            <v>PROJ</v>
          </cell>
        </row>
        <row r="190">
          <cell r="B190">
            <v>612</v>
          </cell>
          <cell r="E190" t="str">
            <v>A02-K24</v>
          </cell>
          <cell r="G190">
            <v>10</v>
          </cell>
          <cell r="H190" t="str">
            <v>PROJ</v>
          </cell>
        </row>
        <row r="191">
          <cell r="B191">
            <v>613</v>
          </cell>
          <cell r="E191" t="str">
            <v>C1-K30</v>
          </cell>
          <cell r="G191">
            <v>10</v>
          </cell>
          <cell r="H191" t="str">
            <v>PROJ</v>
          </cell>
        </row>
        <row r="192">
          <cell r="B192">
            <v>614</v>
          </cell>
          <cell r="E192" t="str">
            <v>A07-K24-M</v>
          </cell>
          <cell r="G192">
            <v>10</v>
          </cell>
          <cell r="H192" t="str">
            <v>PROJ</v>
          </cell>
        </row>
        <row r="193">
          <cell r="B193">
            <v>615</v>
          </cell>
          <cell r="E193" t="str">
            <v>A04-K24</v>
          </cell>
          <cell r="G193">
            <v>10</v>
          </cell>
          <cell r="H193" t="str">
            <v>PROJ</v>
          </cell>
        </row>
        <row r="194">
          <cell r="B194">
            <v>616</v>
          </cell>
          <cell r="E194" t="str">
            <v>A01-K24-M</v>
          </cell>
          <cell r="G194">
            <v>10</v>
          </cell>
          <cell r="H194" t="str">
            <v>PROJ</v>
          </cell>
        </row>
        <row r="195">
          <cell r="B195">
            <v>617</v>
          </cell>
          <cell r="E195" t="str">
            <v>A05-K30</v>
          </cell>
          <cell r="G195">
            <v>10</v>
          </cell>
          <cell r="H195" t="str">
            <v>PROJ</v>
          </cell>
        </row>
        <row r="196">
          <cell r="B196">
            <v>618</v>
          </cell>
          <cell r="E196" t="str">
            <v>A02-K24-A</v>
          </cell>
          <cell r="G196">
            <v>11</v>
          </cell>
          <cell r="H196" t="str">
            <v>PROJ</v>
          </cell>
        </row>
        <row r="197">
          <cell r="B197">
            <v>619</v>
          </cell>
          <cell r="E197" t="str">
            <v>A03-K24-M</v>
          </cell>
          <cell r="G197">
            <v>11</v>
          </cell>
          <cell r="H197" t="str">
            <v>PROJ</v>
          </cell>
        </row>
        <row r="198">
          <cell r="B198">
            <v>620</v>
          </cell>
          <cell r="E198" t="str">
            <v>A02-K24-AM</v>
          </cell>
          <cell r="G198">
            <v>11</v>
          </cell>
          <cell r="H198" t="str">
            <v>PROJ</v>
          </cell>
        </row>
        <row r="199">
          <cell r="B199">
            <v>621</v>
          </cell>
          <cell r="E199" t="str">
            <v>A06-K24-AM</v>
          </cell>
          <cell r="G199">
            <v>11</v>
          </cell>
          <cell r="H199" t="str">
            <v>PROJ</v>
          </cell>
        </row>
        <row r="200">
          <cell r="B200">
            <v>622</v>
          </cell>
          <cell r="E200" t="str">
            <v>A02-K24-M</v>
          </cell>
          <cell r="G200">
            <v>11</v>
          </cell>
          <cell r="H200" t="str">
            <v>PROJ</v>
          </cell>
        </row>
        <row r="201">
          <cell r="B201">
            <v>623</v>
          </cell>
          <cell r="E201" t="str">
            <v>A03-K24-AM</v>
          </cell>
          <cell r="G201">
            <v>11</v>
          </cell>
          <cell r="H201" t="str">
            <v>PROJ</v>
          </cell>
        </row>
        <row r="202">
          <cell r="B202">
            <v>624</v>
          </cell>
          <cell r="E202" t="str">
            <v>A07-K24</v>
          </cell>
          <cell r="G202">
            <v>11</v>
          </cell>
          <cell r="H202" t="str">
            <v>PROJ</v>
          </cell>
        </row>
        <row r="203">
          <cell r="B203">
            <v>625</v>
          </cell>
          <cell r="E203" t="str">
            <v>B02L-K24</v>
          </cell>
          <cell r="G203">
            <v>11</v>
          </cell>
          <cell r="H203" t="str">
            <v>PROJ</v>
          </cell>
        </row>
        <row r="204">
          <cell r="B204">
            <v>626</v>
          </cell>
          <cell r="E204" t="str">
            <v>B03L-K24-A</v>
          </cell>
          <cell r="G204">
            <v>11</v>
          </cell>
          <cell r="H204" t="str">
            <v>PROJ</v>
          </cell>
        </row>
        <row r="205">
          <cell r="B205">
            <v>627</v>
          </cell>
          <cell r="E205" t="str">
            <v>B04L-K24-A</v>
          </cell>
          <cell r="G205">
            <v>11</v>
          </cell>
          <cell r="H205" t="str">
            <v>PROJ</v>
          </cell>
        </row>
        <row r="206">
          <cell r="B206">
            <v>628</v>
          </cell>
          <cell r="E206" t="str">
            <v>A07-K24-A</v>
          </cell>
          <cell r="G206">
            <v>11</v>
          </cell>
          <cell r="H206" t="str">
            <v>PROJ</v>
          </cell>
        </row>
        <row r="207">
          <cell r="B207">
            <v>629</v>
          </cell>
          <cell r="E207" t="str">
            <v>A07-K24-AM</v>
          </cell>
          <cell r="G207">
            <v>11</v>
          </cell>
          <cell r="H207" t="str">
            <v>PROJ</v>
          </cell>
        </row>
        <row r="208">
          <cell r="B208">
            <v>630</v>
          </cell>
          <cell r="E208" t="str">
            <v>A09-K24-M</v>
          </cell>
          <cell r="G208">
            <v>11</v>
          </cell>
          <cell r="H208" t="str">
            <v>PROJ</v>
          </cell>
        </row>
        <row r="209">
          <cell r="B209">
            <v>631</v>
          </cell>
          <cell r="E209" t="str">
            <v>C2-K30</v>
          </cell>
          <cell r="G209">
            <v>11</v>
          </cell>
          <cell r="H209" t="str">
            <v>PROJ</v>
          </cell>
        </row>
        <row r="210">
          <cell r="B210">
            <v>632</v>
          </cell>
          <cell r="E210" t="str">
            <v>C3-K30-A</v>
          </cell>
          <cell r="G210">
            <v>11</v>
          </cell>
          <cell r="H210" t="str">
            <v>PROJ</v>
          </cell>
        </row>
        <row r="211">
          <cell r="B211">
            <v>633</v>
          </cell>
          <cell r="E211" t="str">
            <v>B01L-K30</v>
          </cell>
          <cell r="G211">
            <v>11</v>
          </cell>
          <cell r="H211" t="str">
            <v>PROJ</v>
          </cell>
        </row>
        <row r="212">
          <cell r="B212">
            <v>634</v>
          </cell>
          <cell r="E212" t="str">
            <v>A07-K24</v>
          </cell>
          <cell r="G212">
            <v>11</v>
          </cell>
          <cell r="H212" t="str">
            <v>PROJ</v>
          </cell>
        </row>
        <row r="213">
          <cell r="B213">
            <v>635</v>
          </cell>
          <cell r="E213" t="str">
            <v>A02-K24</v>
          </cell>
          <cell r="G213">
            <v>11</v>
          </cell>
          <cell r="H213" t="str">
            <v>PROJ</v>
          </cell>
        </row>
        <row r="214">
          <cell r="B214">
            <v>636</v>
          </cell>
          <cell r="E214" t="str">
            <v>A03-K24</v>
          </cell>
          <cell r="G214">
            <v>12</v>
          </cell>
          <cell r="H214" t="str">
            <v>PROJ</v>
          </cell>
        </row>
        <row r="215">
          <cell r="B215">
            <v>637</v>
          </cell>
          <cell r="E215" t="str">
            <v>A07-K24-M</v>
          </cell>
          <cell r="G215">
            <v>12</v>
          </cell>
          <cell r="H215" t="str">
            <v>PROJ</v>
          </cell>
        </row>
        <row r="216">
          <cell r="B216">
            <v>638</v>
          </cell>
          <cell r="E216" t="str">
            <v>A07-K24</v>
          </cell>
          <cell r="G216">
            <v>12</v>
          </cell>
          <cell r="H216" t="str">
            <v>PROJ</v>
          </cell>
        </row>
        <row r="217">
          <cell r="B217">
            <v>639</v>
          </cell>
          <cell r="E217" t="str">
            <v>A10-K30</v>
          </cell>
          <cell r="G217">
            <v>12</v>
          </cell>
          <cell r="H217" t="str">
            <v>PROJ</v>
          </cell>
        </row>
        <row r="218">
          <cell r="B218">
            <v>640</v>
          </cell>
          <cell r="E218" t="str">
            <v>A01-K24-M</v>
          </cell>
          <cell r="G218">
            <v>12</v>
          </cell>
          <cell r="H218" t="str">
            <v>PROJ</v>
          </cell>
        </row>
        <row r="219">
          <cell r="B219">
            <v>641</v>
          </cell>
          <cell r="E219" t="str">
            <v>A04-K24</v>
          </cell>
          <cell r="G219">
            <v>12</v>
          </cell>
          <cell r="H219" t="str">
            <v>PROJ</v>
          </cell>
        </row>
        <row r="220">
          <cell r="B220">
            <v>642</v>
          </cell>
          <cell r="E220" t="str">
            <v>A03-K24-M</v>
          </cell>
          <cell r="G220">
            <v>12</v>
          </cell>
          <cell r="H220" t="str">
            <v>PROJ</v>
          </cell>
        </row>
        <row r="221">
          <cell r="B221">
            <v>643</v>
          </cell>
          <cell r="E221" t="str">
            <v>B06L-K24</v>
          </cell>
          <cell r="G221">
            <v>12</v>
          </cell>
          <cell r="H221" t="str">
            <v>PROJ</v>
          </cell>
        </row>
        <row r="222">
          <cell r="B222">
            <v>644</v>
          </cell>
          <cell r="E222" t="str">
            <v>A03-K24-M</v>
          </cell>
          <cell r="G222">
            <v>12</v>
          </cell>
          <cell r="H222" t="str">
            <v>PROJ</v>
          </cell>
        </row>
        <row r="223">
          <cell r="B223">
            <v>645</v>
          </cell>
          <cell r="E223" t="str">
            <v>A03-K24-M</v>
          </cell>
          <cell r="G223">
            <v>12</v>
          </cell>
          <cell r="H223" t="str">
            <v>PROJ</v>
          </cell>
        </row>
        <row r="224">
          <cell r="B224">
            <v>646</v>
          </cell>
          <cell r="E224" t="str">
            <v>A03-K24-M</v>
          </cell>
          <cell r="G224">
            <v>12</v>
          </cell>
          <cell r="H224" t="str">
            <v>PROJ</v>
          </cell>
        </row>
        <row r="225">
          <cell r="B225">
            <v>647</v>
          </cell>
          <cell r="E225" t="str">
            <v>A03-K24-M</v>
          </cell>
          <cell r="G225">
            <v>12</v>
          </cell>
          <cell r="H225" t="str">
            <v>PROJ</v>
          </cell>
        </row>
        <row r="226">
          <cell r="B226">
            <v>648</v>
          </cell>
          <cell r="E226" t="str">
            <v>A02-K24</v>
          </cell>
          <cell r="G226">
            <v>12</v>
          </cell>
          <cell r="H226" t="str">
            <v>PROJ</v>
          </cell>
        </row>
        <row r="227">
          <cell r="B227">
            <v>649</v>
          </cell>
          <cell r="E227" t="str">
            <v>A07-K24-A</v>
          </cell>
          <cell r="G227">
            <v>12</v>
          </cell>
          <cell r="H227" t="str">
            <v>PROJ</v>
          </cell>
        </row>
        <row r="228">
          <cell r="B228">
            <v>650</v>
          </cell>
          <cell r="E228" t="str">
            <v>A07-K24</v>
          </cell>
          <cell r="G228" t="str">
            <v>H1</v>
          </cell>
          <cell r="H228" t="str">
            <v>PROJ</v>
          </cell>
        </row>
        <row r="229">
          <cell r="B229">
            <v>651</v>
          </cell>
          <cell r="E229" t="str">
            <v>A03-K24-A</v>
          </cell>
          <cell r="G229" t="str">
            <v>H1</v>
          </cell>
          <cell r="H229" t="str">
            <v>PROJ</v>
          </cell>
        </row>
        <row r="230">
          <cell r="B230">
            <v>652</v>
          </cell>
          <cell r="E230" t="str">
            <v>A02-K24-A</v>
          </cell>
          <cell r="G230">
            <v>12</v>
          </cell>
          <cell r="H230" t="str">
            <v>PROJ</v>
          </cell>
        </row>
        <row r="231">
          <cell r="B231">
            <v>653</v>
          </cell>
          <cell r="E231" t="str">
            <v>A07-K24-M</v>
          </cell>
          <cell r="G231">
            <v>12</v>
          </cell>
          <cell r="H231" t="str">
            <v>PROJ</v>
          </cell>
        </row>
        <row r="232">
          <cell r="B232">
            <v>654</v>
          </cell>
          <cell r="E232" t="str">
            <v>B04L-K24-M</v>
          </cell>
          <cell r="G232">
            <v>13</v>
          </cell>
          <cell r="H232" t="str">
            <v>PROJ</v>
          </cell>
        </row>
        <row r="233">
          <cell r="B233">
            <v>655</v>
          </cell>
          <cell r="E233" t="str">
            <v>A01-K24-M</v>
          </cell>
          <cell r="G233">
            <v>13</v>
          </cell>
          <cell r="H233" t="str">
            <v>PROJ</v>
          </cell>
        </row>
        <row r="234">
          <cell r="B234">
            <v>656</v>
          </cell>
          <cell r="E234" t="str">
            <v>B08L-K24</v>
          </cell>
          <cell r="G234">
            <v>13</v>
          </cell>
          <cell r="H234" t="str">
            <v>PROJ</v>
          </cell>
        </row>
        <row r="235">
          <cell r="B235">
            <v>657</v>
          </cell>
          <cell r="E235" t="str">
            <v>A03-K24-M</v>
          </cell>
          <cell r="G235">
            <v>13</v>
          </cell>
          <cell r="H235" t="str">
            <v>PROJ</v>
          </cell>
        </row>
        <row r="236">
          <cell r="B236">
            <v>658</v>
          </cell>
          <cell r="E236" t="str">
            <v>B12L-K24</v>
          </cell>
          <cell r="G236">
            <v>13</v>
          </cell>
          <cell r="H236" t="str">
            <v>PROJ</v>
          </cell>
        </row>
        <row r="237">
          <cell r="B237">
            <v>701</v>
          </cell>
          <cell r="E237" t="str">
            <v>A01-K24-A</v>
          </cell>
          <cell r="G237">
            <v>13</v>
          </cell>
          <cell r="H237" t="str">
            <v>PROJ</v>
          </cell>
        </row>
        <row r="238">
          <cell r="B238">
            <v>702</v>
          </cell>
          <cell r="E238" t="str">
            <v>A02-K24</v>
          </cell>
          <cell r="G238">
            <v>13</v>
          </cell>
          <cell r="H238" t="str">
            <v>PROJ</v>
          </cell>
        </row>
        <row r="239">
          <cell r="B239">
            <v>703</v>
          </cell>
          <cell r="E239" t="str">
            <v>A03-K24</v>
          </cell>
          <cell r="G239">
            <v>13</v>
          </cell>
          <cell r="H239" t="str">
            <v>PROJ</v>
          </cell>
        </row>
        <row r="240">
          <cell r="B240">
            <v>704</v>
          </cell>
          <cell r="E240" t="str">
            <v>A03-K24-M</v>
          </cell>
          <cell r="G240">
            <v>13</v>
          </cell>
          <cell r="H240" t="str">
            <v>PROJ</v>
          </cell>
        </row>
        <row r="241">
          <cell r="B241">
            <v>705</v>
          </cell>
          <cell r="E241" t="str">
            <v>A03-K24-M</v>
          </cell>
          <cell r="G241">
            <v>13</v>
          </cell>
          <cell r="H241" t="str">
            <v>PROJ</v>
          </cell>
        </row>
        <row r="242">
          <cell r="B242">
            <v>706</v>
          </cell>
          <cell r="E242" t="str">
            <v>A07-K24</v>
          </cell>
          <cell r="G242">
            <v>13</v>
          </cell>
          <cell r="H242" t="str">
            <v>PROJ</v>
          </cell>
        </row>
        <row r="243">
          <cell r="B243">
            <v>707</v>
          </cell>
          <cell r="E243" t="str">
            <v>A03-K24</v>
          </cell>
          <cell r="G243">
            <v>13</v>
          </cell>
          <cell r="H243" t="str">
            <v>PROJ</v>
          </cell>
        </row>
        <row r="244">
          <cell r="B244">
            <v>708</v>
          </cell>
          <cell r="E244" t="str">
            <v>C4-K24</v>
          </cell>
          <cell r="G244">
            <v>13</v>
          </cell>
          <cell r="H244" t="str">
            <v>PROJ</v>
          </cell>
        </row>
        <row r="245">
          <cell r="B245">
            <v>709</v>
          </cell>
          <cell r="E245" t="str">
            <v>A03-K24</v>
          </cell>
          <cell r="G245">
            <v>13</v>
          </cell>
          <cell r="H245" t="str">
            <v>PROJ</v>
          </cell>
        </row>
        <row r="246">
          <cell r="B246">
            <v>710</v>
          </cell>
          <cell r="E246" t="str">
            <v>A03-K24-M</v>
          </cell>
          <cell r="G246">
            <v>13</v>
          </cell>
          <cell r="H246" t="str">
            <v>PROJ</v>
          </cell>
        </row>
        <row r="247">
          <cell r="B247">
            <v>711</v>
          </cell>
          <cell r="E247" t="str">
            <v>A03-K24-M</v>
          </cell>
          <cell r="G247">
            <v>13</v>
          </cell>
          <cell r="H247" t="str">
            <v>PROJ</v>
          </cell>
        </row>
        <row r="248">
          <cell r="B248">
            <v>712</v>
          </cell>
          <cell r="E248" t="str">
            <v>A02-K24</v>
          </cell>
          <cell r="G248">
            <v>13</v>
          </cell>
          <cell r="H248" t="str">
            <v>PROJ</v>
          </cell>
        </row>
        <row r="249">
          <cell r="B249">
            <v>713</v>
          </cell>
          <cell r="E249" t="str">
            <v>C1-K30</v>
          </cell>
          <cell r="G249">
            <v>13</v>
          </cell>
          <cell r="H249" t="str">
            <v>PROJ</v>
          </cell>
        </row>
        <row r="250">
          <cell r="B250">
            <v>714</v>
          </cell>
          <cell r="E250" t="str">
            <v>A07-K24-M</v>
          </cell>
          <cell r="G250">
            <v>14</v>
          </cell>
          <cell r="H250" t="str">
            <v>PROJ</v>
          </cell>
        </row>
        <row r="251">
          <cell r="B251">
            <v>715</v>
          </cell>
          <cell r="E251" t="str">
            <v>A04-K24</v>
          </cell>
          <cell r="G251">
            <v>14</v>
          </cell>
          <cell r="H251" t="str">
            <v>PROJ</v>
          </cell>
        </row>
        <row r="252">
          <cell r="B252">
            <v>716</v>
          </cell>
          <cell r="E252" t="str">
            <v>A01-K24-M</v>
          </cell>
          <cell r="G252">
            <v>14</v>
          </cell>
          <cell r="H252" t="str">
            <v>PROJ</v>
          </cell>
        </row>
        <row r="253">
          <cell r="B253">
            <v>717</v>
          </cell>
          <cell r="E253" t="str">
            <v>A05-K30</v>
          </cell>
          <cell r="G253">
            <v>14</v>
          </cell>
          <cell r="H253" t="str">
            <v>PROJ</v>
          </cell>
        </row>
        <row r="254">
          <cell r="B254">
            <v>718</v>
          </cell>
          <cell r="E254" t="str">
            <v>A02-K24-A</v>
          </cell>
          <cell r="G254">
            <v>14</v>
          </cell>
          <cell r="H254" t="str">
            <v>PROJ</v>
          </cell>
        </row>
        <row r="255">
          <cell r="B255">
            <v>719</v>
          </cell>
          <cell r="E255" t="str">
            <v>A03-K24-M</v>
          </cell>
          <cell r="G255">
            <v>14</v>
          </cell>
          <cell r="H255" t="str">
            <v>PROJ</v>
          </cell>
        </row>
        <row r="256">
          <cell r="B256">
            <v>720</v>
          </cell>
          <cell r="E256" t="str">
            <v>A02-K24-AM</v>
          </cell>
          <cell r="G256">
            <v>14</v>
          </cell>
          <cell r="H256" t="str">
            <v>PROJ</v>
          </cell>
        </row>
        <row r="257">
          <cell r="B257">
            <v>721</v>
          </cell>
          <cell r="E257" t="str">
            <v>A06-K24-AM</v>
          </cell>
          <cell r="G257">
            <v>14</v>
          </cell>
          <cell r="H257" t="str">
            <v>PROJ</v>
          </cell>
        </row>
        <row r="258">
          <cell r="B258">
            <v>722</v>
          </cell>
          <cell r="E258" t="str">
            <v>A02-K24-M</v>
          </cell>
          <cell r="G258">
            <v>14</v>
          </cell>
          <cell r="H258" t="str">
            <v>PROJ</v>
          </cell>
        </row>
        <row r="259">
          <cell r="B259">
            <v>723</v>
          </cell>
          <cell r="E259" t="str">
            <v>A03-K24-AM</v>
          </cell>
          <cell r="G259">
            <v>14</v>
          </cell>
          <cell r="H259" t="str">
            <v>PROJ</v>
          </cell>
        </row>
        <row r="260">
          <cell r="B260">
            <v>724</v>
          </cell>
          <cell r="E260" t="str">
            <v>A07-K24</v>
          </cell>
          <cell r="G260">
            <v>14</v>
          </cell>
          <cell r="H260" t="str">
            <v>PROJ</v>
          </cell>
        </row>
        <row r="261">
          <cell r="B261">
            <v>725</v>
          </cell>
          <cell r="E261" t="str">
            <v>B02L-K24</v>
          </cell>
          <cell r="G261">
            <v>14</v>
          </cell>
          <cell r="H261" t="str">
            <v>PROJ</v>
          </cell>
        </row>
        <row r="262">
          <cell r="B262">
            <v>726</v>
          </cell>
          <cell r="E262" t="str">
            <v>B03L-K24-A</v>
          </cell>
          <cell r="G262">
            <v>14</v>
          </cell>
          <cell r="H262" t="str">
            <v>PROJ</v>
          </cell>
        </row>
        <row r="263">
          <cell r="B263">
            <v>727</v>
          </cell>
          <cell r="E263" t="str">
            <v>B04L-K24-A</v>
          </cell>
          <cell r="G263">
            <v>14</v>
          </cell>
          <cell r="H263" t="str">
            <v>PROJ</v>
          </cell>
        </row>
        <row r="264">
          <cell r="B264">
            <v>728</v>
          </cell>
          <cell r="E264" t="str">
            <v>A07-K24-A</v>
          </cell>
          <cell r="G264">
            <v>14</v>
          </cell>
          <cell r="H264" t="str">
            <v>PROJ</v>
          </cell>
        </row>
        <row r="265">
          <cell r="B265">
            <v>729</v>
          </cell>
          <cell r="E265" t="str">
            <v>A07-K24-AM</v>
          </cell>
          <cell r="G265">
            <v>14</v>
          </cell>
          <cell r="H265" t="str">
            <v>PROJ</v>
          </cell>
        </row>
        <row r="266">
          <cell r="B266">
            <v>730</v>
          </cell>
          <cell r="E266" t="str">
            <v>A09-K24-M</v>
          </cell>
          <cell r="G266">
            <v>14</v>
          </cell>
          <cell r="H266" t="str">
            <v>PROJ</v>
          </cell>
        </row>
        <row r="267">
          <cell r="B267">
            <v>731</v>
          </cell>
          <cell r="E267" t="str">
            <v>C2-K30</v>
          </cell>
          <cell r="G267">
            <v>14</v>
          </cell>
          <cell r="H267" t="str">
            <v>PROJ</v>
          </cell>
        </row>
        <row r="268">
          <cell r="B268">
            <v>732</v>
          </cell>
          <cell r="E268" t="str">
            <v>C3-K30-A</v>
          </cell>
          <cell r="G268">
            <v>15</v>
          </cell>
          <cell r="H268" t="str">
            <v>PROJ</v>
          </cell>
        </row>
        <row r="269">
          <cell r="B269">
            <v>733</v>
          </cell>
          <cell r="E269" t="str">
            <v>B01L-K30</v>
          </cell>
          <cell r="G269">
            <v>15</v>
          </cell>
          <cell r="H269" t="str">
            <v>PROJ</v>
          </cell>
        </row>
        <row r="270">
          <cell r="B270">
            <v>734</v>
          </cell>
          <cell r="E270" t="str">
            <v>A07-K24</v>
          </cell>
          <cell r="G270">
            <v>15</v>
          </cell>
          <cell r="H270" t="str">
            <v>PROJ</v>
          </cell>
        </row>
        <row r="271">
          <cell r="B271">
            <v>735</v>
          </cell>
          <cell r="E271" t="str">
            <v>A02-K24</v>
          </cell>
          <cell r="G271">
            <v>15</v>
          </cell>
          <cell r="H271" t="str">
            <v>PROJ</v>
          </cell>
        </row>
        <row r="272">
          <cell r="B272">
            <v>736</v>
          </cell>
          <cell r="E272" t="str">
            <v>A03-K24</v>
          </cell>
          <cell r="G272">
            <v>15</v>
          </cell>
          <cell r="H272" t="str">
            <v>PROJ</v>
          </cell>
        </row>
        <row r="273">
          <cell r="B273">
            <v>737</v>
          </cell>
          <cell r="E273" t="str">
            <v>A07-K24-M</v>
          </cell>
          <cell r="G273">
            <v>15</v>
          </cell>
          <cell r="H273" t="str">
            <v>PROJ</v>
          </cell>
        </row>
        <row r="274">
          <cell r="B274">
            <v>738</v>
          </cell>
          <cell r="E274" t="str">
            <v>A07-K24</v>
          </cell>
          <cell r="G274">
            <v>15</v>
          </cell>
          <cell r="H274" t="str">
            <v>PROJ</v>
          </cell>
        </row>
        <row r="275">
          <cell r="B275">
            <v>739</v>
          </cell>
          <cell r="E275" t="str">
            <v>A10-K30</v>
          </cell>
          <cell r="G275">
            <v>15</v>
          </cell>
          <cell r="H275" t="str">
            <v>PROJ</v>
          </cell>
        </row>
        <row r="276">
          <cell r="B276">
            <v>740</v>
          </cell>
          <cell r="E276" t="str">
            <v>A01-K24-M</v>
          </cell>
          <cell r="G276">
            <v>15</v>
          </cell>
          <cell r="H276" t="str">
            <v>PROJ</v>
          </cell>
        </row>
        <row r="277">
          <cell r="B277">
            <v>741</v>
          </cell>
          <cell r="E277" t="str">
            <v>A04-K24</v>
          </cell>
          <cell r="G277">
            <v>15</v>
          </cell>
          <cell r="H277" t="str">
            <v>PROJ</v>
          </cell>
        </row>
        <row r="278">
          <cell r="B278">
            <v>742</v>
          </cell>
          <cell r="E278" t="str">
            <v>A03-K24-M</v>
          </cell>
          <cell r="G278">
            <v>15</v>
          </cell>
          <cell r="H278" t="str">
            <v>PROJ</v>
          </cell>
        </row>
        <row r="279">
          <cell r="B279">
            <v>743</v>
          </cell>
          <cell r="E279" t="str">
            <v>B06L-K24</v>
          </cell>
          <cell r="G279">
            <v>15</v>
          </cell>
          <cell r="H279" t="str">
            <v>PROJ</v>
          </cell>
        </row>
        <row r="280">
          <cell r="B280">
            <v>744</v>
          </cell>
          <cell r="E280" t="str">
            <v>A03-K24-M</v>
          </cell>
          <cell r="G280">
            <v>15</v>
          </cell>
          <cell r="H280" t="str">
            <v>PROJ</v>
          </cell>
        </row>
        <row r="281">
          <cell r="B281">
            <v>745</v>
          </cell>
          <cell r="E281" t="str">
            <v>A03-K24-M</v>
          </cell>
          <cell r="G281">
            <v>15</v>
          </cell>
          <cell r="H281" t="str">
            <v>PROJ</v>
          </cell>
        </row>
        <row r="282">
          <cell r="B282">
            <v>746</v>
          </cell>
          <cell r="E282" t="str">
            <v>A03-K24-M</v>
          </cell>
          <cell r="G282">
            <v>15</v>
          </cell>
          <cell r="H282" t="str">
            <v>PROJ</v>
          </cell>
        </row>
        <row r="283">
          <cell r="B283">
            <v>747</v>
          </cell>
          <cell r="E283" t="str">
            <v>A03-K24-M</v>
          </cell>
          <cell r="G283">
            <v>15</v>
          </cell>
          <cell r="H283" t="str">
            <v>PROJ</v>
          </cell>
        </row>
        <row r="284">
          <cell r="B284">
            <v>748</v>
          </cell>
          <cell r="E284" t="str">
            <v>A02-K24</v>
          </cell>
          <cell r="G284">
            <v>15</v>
          </cell>
          <cell r="H284" t="str">
            <v>PROJ</v>
          </cell>
        </row>
        <row r="285">
          <cell r="B285">
            <v>749</v>
          </cell>
          <cell r="E285" t="str">
            <v>A07-K24-A</v>
          </cell>
          <cell r="G285">
            <v>15</v>
          </cell>
          <cell r="H285" t="str">
            <v>PROJ</v>
          </cell>
        </row>
        <row r="286">
          <cell r="B286">
            <v>750</v>
          </cell>
          <cell r="E286" t="str">
            <v>A07-K24</v>
          </cell>
          <cell r="G286" t="str">
            <v>H1</v>
          </cell>
          <cell r="H286" t="str">
            <v>PROJ</v>
          </cell>
        </row>
        <row r="287">
          <cell r="B287">
            <v>751</v>
          </cell>
          <cell r="E287" t="str">
            <v>A03-K24-A</v>
          </cell>
          <cell r="G287" t="str">
            <v>H1</v>
          </cell>
          <cell r="H287" t="str">
            <v>PROJ</v>
          </cell>
        </row>
        <row r="288">
          <cell r="B288">
            <v>752</v>
          </cell>
          <cell r="E288" t="str">
            <v>A02-K24-A</v>
          </cell>
          <cell r="G288">
            <v>16</v>
          </cell>
          <cell r="H288" t="str">
            <v>PROJ</v>
          </cell>
        </row>
        <row r="289">
          <cell r="B289">
            <v>753</v>
          </cell>
          <cell r="E289" t="str">
            <v>A07-K24-M</v>
          </cell>
          <cell r="G289">
            <v>16</v>
          </cell>
          <cell r="H289" t="str">
            <v>PROJ</v>
          </cell>
        </row>
        <row r="290">
          <cell r="B290">
            <v>754</v>
          </cell>
          <cell r="E290" t="str">
            <v>B04L-K24-M</v>
          </cell>
          <cell r="G290">
            <v>16</v>
          </cell>
          <cell r="H290" t="str">
            <v>PROJ</v>
          </cell>
        </row>
        <row r="291">
          <cell r="B291">
            <v>755</v>
          </cell>
          <cell r="E291" t="str">
            <v>A01-K24-M</v>
          </cell>
          <cell r="G291">
            <v>16</v>
          </cell>
          <cell r="H291" t="str">
            <v>PROJ</v>
          </cell>
        </row>
        <row r="292">
          <cell r="B292">
            <v>756</v>
          </cell>
          <cell r="E292" t="str">
            <v>B08L-K24</v>
          </cell>
          <cell r="G292">
            <v>16</v>
          </cell>
          <cell r="H292" t="str">
            <v>PROJ</v>
          </cell>
        </row>
        <row r="293">
          <cell r="B293">
            <v>757</v>
          </cell>
          <cell r="E293" t="str">
            <v>A03-K24-M</v>
          </cell>
          <cell r="G293">
            <v>16</v>
          </cell>
          <cell r="H293" t="str">
            <v>PROJ</v>
          </cell>
        </row>
        <row r="294">
          <cell r="B294">
            <v>758</v>
          </cell>
          <cell r="E294" t="str">
            <v>B12L-K24</v>
          </cell>
          <cell r="G294">
            <v>16</v>
          </cell>
          <cell r="H294" t="str">
            <v>PROJ</v>
          </cell>
        </row>
        <row r="295">
          <cell r="B295">
            <v>801</v>
          </cell>
          <cell r="E295" t="str">
            <v>A01-K24-A</v>
          </cell>
          <cell r="G295">
            <v>16</v>
          </cell>
          <cell r="H295" t="str">
            <v>PROJ</v>
          </cell>
        </row>
        <row r="296">
          <cell r="B296">
            <v>802</v>
          </cell>
          <cell r="E296" t="str">
            <v>A02-K24</v>
          </cell>
          <cell r="G296">
            <v>16</v>
          </cell>
          <cell r="H296" t="str">
            <v>PROJ</v>
          </cell>
        </row>
        <row r="297">
          <cell r="B297">
            <v>803</v>
          </cell>
          <cell r="E297" t="str">
            <v>A03-K24</v>
          </cell>
          <cell r="G297">
            <v>16</v>
          </cell>
          <cell r="H297" t="str">
            <v>PROJ</v>
          </cell>
        </row>
        <row r="298">
          <cell r="B298">
            <v>804</v>
          </cell>
          <cell r="E298" t="str">
            <v>A03-K24-M</v>
          </cell>
          <cell r="G298">
            <v>16</v>
          </cell>
          <cell r="H298" t="str">
            <v>PROJ</v>
          </cell>
        </row>
        <row r="299">
          <cell r="B299">
            <v>805</v>
          </cell>
          <cell r="E299" t="str">
            <v>A03-K24-M</v>
          </cell>
          <cell r="G299">
            <v>16</v>
          </cell>
          <cell r="H299" t="str">
            <v>PROJ</v>
          </cell>
        </row>
        <row r="300">
          <cell r="B300">
            <v>806</v>
          </cell>
          <cell r="E300" t="str">
            <v>A07-K24</v>
          </cell>
          <cell r="G300">
            <v>16</v>
          </cell>
          <cell r="H300" t="str">
            <v>PROJ</v>
          </cell>
        </row>
        <row r="301">
          <cell r="B301">
            <v>807</v>
          </cell>
          <cell r="E301" t="str">
            <v>A03-K24</v>
          </cell>
          <cell r="G301">
            <v>16</v>
          </cell>
          <cell r="H301" t="str">
            <v>PROJ</v>
          </cell>
        </row>
        <row r="302">
          <cell r="B302">
            <v>808</v>
          </cell>
          <cell r="E302" t="str">
            <v>C4-K24</v>
          </cell>
          <cell r="G302">
            <v>16</v>
          </cell>
          <cell r="H302" t="str">
            <v>PROJ</v>
          </cell>
        </row>
        <row r="303">
          <cell r="B303">
            <v>809</v>
          </cell>
          <cell r="E303" t="str">
            <v>A03-K24</v>
          </cell>
          <cell r="G303">
            <v>16</v>
          </cell>
          <cell r="H303" t="str">
            <v>PROJ</v>
          </cell>
        </row>
        <row r="304">
          <cell r="B304">
            <v>810</v>
          </cell>
          <cell r="E304" t="str">
            <v>A03-K24-M</v>
          </cell>
          <cell r="G304">
            <v>17</v>
          </cell>
          <cell r="H304" t="str">
            <v>PROJ</v>
          </cell>
        </row>
        <row r="305">
          <cell r="B305">
            <v>811</v>
          </cell>
          <cell r="E305" t="str">
            <v>A03-K24-M</v>
          </cell>
          <cell r="G305">
            <v>17</v>
          </cell>
          <cell r="H305" t="str">
            <v>PROJ</v>
          </cell>
        </row>
        <row r="306">
          <cell r="B306">
            <v>812</v>
          </cell>
          <cell r="E306" t="str">
            <v>A02-K24</v>
          </cell>
          <cell r="G306">
            <v>17</v>
          </cell>
          <cell r="H306" t="str">
            <v>PROJ</v>
          </cell>
        </row>
        <row r="307">
          <cell r="B307">
            <v>813</v>
          </cell>
          <cell r="E307" t="str">
            <v>C1-K30</v>
          </cell>
          <cell r="G307">
            <v>17</v>
          </cell>
          <cell r="H307" t="str">
            <v>PROJ</v>
          </cell>
        </row>
        <row r="308">
          <cell r="B308">
            <v>814</v>
          </cell>
          <cell r="E308" t="str">
            <v>A07-K24-M</v>
          </cell>
          <cell r="G308">
            <v>17</v>
          </cell>
          <cell r="H308" t="str">
            <v>PROJ</v>
          </cell>
        </row>
        <row r="309">
          <cell r="B309">
            <v>815</v>
          </cell>
          <cell r="E309" t="str">
            <v>A04-K24</v>
          </cell>
          <cell r="G309">
            <v>17</v>
          </cell>
          <cell r="H309" t="str">
            <v>PROJ</v>
          </cell>
        </row>
        <row r="310">
          <cell r="B310">
            <v>816</v>
          </cell>
          <cell r="E310" t="str">
            <v>A01-K24-M</v>
          </cell>
          <cell r="G310">
            <v>17</v>
          </cell>
          <cell r="H310" t="str">
            <v>PROJ</v>
          </cell>
        </row>
        <row r="311">
          <cell r="B311">
            <v>817</v>
          </cell>
          <cell r="E311" t="str">
            <v>A05-K30</v>
          </cell>
          <cell r="G311">
            <v>17</v>
          </cell>
          <cell r="H311" t="str">
            <v>PROJ</v>
          </cell>
        </row>
        <row r="312">
          <cell r="B312">
            <v>818</v>
          </cell>
          <cell r="E312" t="str">
            <v>A02-K24-A</v>
          </cell>
          <cell r="G312">
            <v>17</v>
          </cell>
          <cell r="H312" t="str">
            <v>PROJ</v>
          </cell>
        </row>
        <row r="313">
          <cell r="B313">
            <v>819</v>
          </cell>
          <cell r="E313" t="str">
            <v>A03-K24-M</v>
          </cell>
          <cell r="G313">
            <v>17</v>
          </cell>
          <cell r="H313" t="str">
            <v>PROJ</v>
          </cell>
        </row>
        <row r="314">
          <cell r="B314">
            <v>820</v>
          </cell>
          <cell r="E314" t="str">
            <v>A02-K24-AM</v>
          </cell>
          <cell r="G314">
            <v>17</v>
          </cell>
          <cell r="H314" t="str">
            <v>PROJ</v>
          </cell>
        </row>
        <row r="315">
          <cell r="B315">
            <v>821</v>
          </cell>
          <cell r="E315" t="str">
            <v>A06-K24-AM</v>
          </cell>
          <cell r="G315">
            <v>17</v>
          </cell>
          <cell r="H315" t="str">
            <v>PROJ</v>
          </cell>
        </row>
        <row r="316">
          <cell r="B316">
            <v>822</v>
          </cell>
          <cell r="E316" t="str">
            <v>A02-K24-M</v>
          </cell>
          <cell r="G316">
            <v>17</v>
          </cell>
          <cell r="H316" t="str">
            <v>PROJ</v>
          </cell>
        </row>
        <row r="317">
          <cell r="B317">
            <v>823</v>
          </cell>
          <cell r="E317" t="str">
            <v>A03-K24-AM</v>
          </cell>
          <cell r="G317">
            <v>17</v>
          </cell>
          <cell r="H317" t="str">
            <v>PROJ</v>
          </cell>
        </row>
        <row r="318">
          <cell r="B318">
            <v>824</v>
          </cell>
          <cell r="E318" t="str">
            <v>A07-K24</v>
          </cell>
          <cell r="G318">
            <v>17</v>
          </cell>
          <cell r="H318" t="str">
            <v>PROJ</v>
          </cell>
        </row>
        <row r="319">
          <cell r="B319">
            <v>825</v>
          </cell>
          <cell r="E319" t="str">
            <v>B02L-K24</v>
          </cell>
          <cell r="G319">
            <v>17</v>
          </cell>
          <cell r="H319" t="str">
            <v>PROJ</v>
          </cell>
        </row>
        <row r="320">
          <cell r="B320">
            <v>826</v>
          </cell>
          <cell r="E320" t="str">
            <v>B03L-K24-A</v>
          </cell>
          <cell r="G320">
            <v>17</v>
          </cell>
          <cell r="H320" t="str">
            <v>PROJ</v>
          </cell>
        </row>
        <row r="321">
          <cell r="B321">
            <v>827</v>
          </cell>
          <cell r="E321" t="str">
            <v>B04L-K24-A</v>
          </cell>
          <cell r="G321">
            <v>17</v>
          </cell>
          <cell r="H321" t="str">
            <v>PROJ</v>
          </cell>
        </row>
        <row r="322">
          <cell r="B322">
            <v>828</v>
          </cell>
          <cell r="E322" t="str">
            <v>A07-K24-A</v>
          </cell>
          <cell r="G322">
            <v>18</v>
          </cell>
          <cell r="H322" t="str">
            <v>PROJ</v>
          </cell>
        </row>
        <row r="323">
          <cell r="B323">
            <v>829</v>
          </cell>
          <cell r="E323" t="str">
            <v>A07-K24-AM</v>
          </cell>
          <cell r="G323">
            <v>18</v>
          </cell>
          <cell r="H323" t="str">
            <v>PROJ</v>
          </cell>
        </row>
        <row r="324">
          <cell r="B324">
            <v>830</v>
          </cell>
          <cell r="E324" t="str">
            <v>A09-K24-M</v>
          </cell>
          <cell r="G324">
            <v>18</v>
          </cell>
          <cell r="H324" t="str">
            <v>PROJ</v>
          </cell>
        </row>
        <row r="325">
          <cell r="B325">
            <v>831</v>
          </cell>
          <cell r="E325" t="str">
            <v>C2-K30</v>
          </cell>
          <cell r="G325">
            <v>18</v>
          </cell>
          <cell r="H325" t="str">
            <v>PROJ</v>
          </cell>
        </row>
        <row r="326">
          <cell r="B326">
            <v>832</v>
          </cell>
          <cell r="E326" t="str">
            <v>C3-K30-A</v>
          </cell>
          <cell r="G326">
            <v>18</v>
          </cell>
          <cell r="H326" t="str">
            <v>PROJ</v>
          </cell>
        </row>
        <row r="327">
          <cell r="B327">
            <v>833</v>
          </cell>
          <cell r="E327" t="str">
            <v>B01L-K30</v>
          </cell>
          <cell r="G327">
            <v>18</v>
          </cell>
          <cell r="H327" t="str">
            <v>PROJ</v>
          </cell>
        </row>
        <row r="328">
          <cell r="B328">
            <v>834</v>
          </cell>
          <cell r="E328" t="str">
            <v>A07-K24</v>
          </cell>
          <cell r="G328">
            <v>18</v>
          </cell>
          <cell r="H328" t="str">
            <v>PROJ</v>
          </cell>
        </row>
        <row r="329">
          <cell r="B329">
            <v>835</v>
          </cell>
          <cell r="E329" t="str">
            <v>A02-K24</v>
          </cell>
          <cell r="G329">
            <v>18</v>
          </cell>
          <cell r="H329" t="str">
            <v>PROJ</v>
          </cell>
        </row>
        <row r="330">
          <cell r="B330">
            <v>836</v>
          </cell>
          <cell r="E330" t="str">
            <v>A03-K24</v>
          </cell>
          <cell r="G330">
            <v>18</v>
          </cell>
          <cell r="H330" t="str">
            <v>PROJ</v>
          </cell>
        </row>
        <row r="331">
          <cell r="B331">
            <v>837</v>
          </cell>
          <cell r="E331" t="str">
            <v>A07-K24-M</v>
          </cell>
          <cell r="G331">
            <v>18</v>
          </cell>
          <cell r="H331" t="str">
            <v>PROJ</v>
          </cell>
        </row>
        <row r="332">
          <cell r="B332">
            <v>838</v>
          </cell>
          <cell r="E332" t="str">
            <v>A07-K24</v>
          </cell>
          <cell r="G332">
            <v>18</v>
          </cell>
          <cell r="H332" t="str">
            <v>PROJ</v>
          </cell>
        </row>
        <row r="333">
          <cell r="B333">
            <v>839</v>
          </cell>
          <cell r="E333" t="str">
            <v>A10-K30</v>
          </cell>
          <cell r="G333">
            <v>18</v>
          </cell>
          <cell r="H333" t="str">
            <v>PROJ</v>
          </cell>
        </row>
        <row r="334">
          <cell r="B334">
            <v>840</v>
          </cell>
          <cell r="E334" t="str">
            <v>A01-K24-M</v>
          </cell>
          <cell r="G334">
            <v>18</v>
          </cell>
          <cell r="H334" t="str">
            <v>PROJ</v>
          </cell>
        </row>
        <row r="335">
          <cell r="B335">
            <v>841</v>
          </cell>
          <cell r="E335" t="str">
            <v>A04-K24</v>
          </cell>
          <cell r="G335">
            <v>18</v>
          </cell>
          <cell r="H335" t="str">
            <v>PROJ</v>
          </cell>
        </row>
        <row r="336">
          <cell r="B336">
            <v>842</v>
          </cell>
          <cell r="E336" t="str">
            <v>A03-K24-M</v>
          </cell>
          <cell r="G336">
            <v>18</v>
          </cell>
          <cell r="H336" t="str">
            <v>PROJ</v>
          </cell>
        </row>
        <row r="337">
          <cell r="B337">
            <v>843</v>
          </cell>
          <cell r="E337" t="str">
            <v>B06L-K24</v>
          </cell>
          <cell r="G337">
            <v>18</v>
          </cell>
          <cell r="H337" t="str">
            <v>PROJ</v>
          </cell>
        </row>
        <row r="338">
          <cell r="B338">
            <v>844</v>
          </cell>
          <cell r="E338" t="str">
            <v>A03-K24-M</v>
          </cell>
          <cell r="G338">
            <v>18</v>
          </cell>
          <cell r="H338" t="str">
            <v>PROJ</v>
          </cell>
        </row>
        <row r="339">
          <cell r="B339">
            <v>845</v>
          </cell>
          <cell r="E339" t="str">
            <v>A03-K24-M</v>
          </cell>
          <cell r="G339">
            <v>18</v>
          </cell>
          <cell r="H339" t="str">
            <v>PROJ</v>
          </cell>
        </row>
        <row r="340">
          <cell r="B340">
            <v>846</v>
          </cell>
          <cell r="E340" t="str">
            <v>A03-K24-M</v>
          </cell>
          <cell r="G340">
            <v>19</v>
          </cell>
          <cell r="H340" t="str">
            <v>PROJ</v>
          </cell>
        </row>
        <row r="341">
          <cell r="B341">
            <v>847</v>
          </cell>
          <cell r="E341" t="str">
            <v>A03-K24-M</v>
          </cell>
          <cell r="G341">
            <v>19</v>
          </cell>
          <cell r="H341" t="str">
            <v>PROJ</v>
          </cell>
        </row>
        <row r="342">
          <cell r="B342">
            <v>848</v>
          </cell>
          <cell r="E342" t="str">
            <v>A02-K24</v>
          </cell>
          <cell r="G342">
            <v>19</v>
          </cell>
          <cell r="H342" t="str">
            <v>PROJ</v>
          </cell>
        </row>
        <row r="343">
          <cell r="B343">
            <v>849</v>
          </cell>
          <cell r="E343" t="str">
            <v>A07-K24-A</v>
          </cell>
          <cell r="G343">
            <v>19</v>
          </cell>
          <cell r="H343" t="str">
            <v>PROJ</v>
          </cell>
        </row>
        <row r="344">
          <cell r="B344">
            <v>850</v>
          </cell>
          <cell r="E344" t="str">
            <v>A07-K24</v>
          </cell>
          <cell r="G344" t="str">
            <v>H1</v>
          </cell>
          <cell r="H344" t="str">
            <v>PROJ</v>
          </cell>
        </row>
        <row r="345">
          <cell r="B345">
            <v>851</v>
          </cell>
          <cell r="E345" t="str">
            <v>A03-K24-A</v>
          </cell>
          <cell r="G345" t="str">
            <v>H1</v>
          </cell>
          <cell r="H345" t="str">
            <v>PROJ</v>
          </cell>
        </row>
        <row r="346">
          <cell r="B346">
            <v>852</v>
          </cell>
          <cell r="E346" t="str">
            <v>A02-K24-A</v>
          </cell>
          <cell r="G346">
            <v>19</v>
          </cell>
          <cell r="H346" t="str">
            <v>PROJ</v>
          </cell>
        </row>
        <row r="347">
          <cell r="B347">
            <v>853</v>
          </cell>
          <cell r="E347" t="str">
            <v>A07-K24-M</v>
          </cell>
          <cell r="G347">
            <v>19</v>
          </cell>
          <cell r="H347" t="str">
            <v>PROJ</v>
          </cell>
        </row>
        <row r="348">
          <cell r="B348">
            <v>854</v>
          </cell>
          <cell r="E348" t="str">
            <v>B04L-K24-M</v>
          </cell>
          <cell r="G348">
            <v>19</v>
          </cell>
          <cell r="H348" t="str">
            <v>PROJ</v>
          </cell>
        </row>
        <row r="349">
          <cell r="B349">
            <v>855</v>
          </cell>
          <cell r="E349" t="str">
            <v>A01-K24-M</v>
          </cell>
          <cell r="G349">
            <v>19</v>
          </cell>
          <cell r="H349" t="str">
            <v>PROJ</v>
          </cell>
        </row>
        <row r="350">
          <cell r="B350">
            <v>856</v>
          </cell>
          <cell r="E350" t="str">
            <v>B08L-K24</v>
          </cell>
          <cell r="G350">
            <v>19</v>
          </cell>
          <cell r="H350" t="str">
            <v>PROJ</v>
          </cell>
        </row>
        <row r="351">
          <cell r="B351">
            <v>857</v>
          </cell>
          <cell r="E351" t="str">
            <v>A03-K24-M</v>
          </cell>
          <cell r="G351">
            <v>19</v>
          </cell>
          <cell r="H351" t="str">
            <v>PROJ</v>
          </cell>
        </row>
        <row r="352">
          <cell r="B352">
            <v>858</v>
          </cell>
          <cell r="E352" t="str">
            <v>B12L-K24</v>
          </cell>
          <cell r="G352">
            <v>19</v>
          </cell>
          <cell r="H352" t="str">
            <v>PROJ</v>
          </cell>
        </row>
        <row r="353">
          <cell r="B353">
            <v>901</v>
          </cell>
          <cell r="E353" t="str">
            <v>A01-K24-A</v>
          </cell>
          <cell r="G353">
            <v>19</v>
          </cell>
          <cell r="H353" t="str">
            <v>PROJ</v>
          </cell>
        </row>
        <row r="354">
          <cell r="B354">
            <v>902</v>
          </cell>
          <cell r="E354" t="str">
            <v>A02-K24</v>
          </cell>
          <cell r="G354">
            <v>19</v>
          </cell>
          <cell r="H354" t="str">
            <v>PROJ</v>
          </cell>
        </row>
        <row r="355">
          <cell r="B355">
            <v>903</v>
          </cell>
          <cell r="E355" t="str">
            <v>A03-K24</v>
          </cell>
          <cell r="G355">
            <v>19</v>
          </cell>
          <cell r="H355" t="str">
            <v>PROJ</v>
          </cell>
        </row>
        <row r="356">
          <cell r="B356">
            <v>904</v>
          </cell>
          <cell r="E356" t="str">
            <v>A03-K24-M</v>
          </cell>
          <cell r="G356">
            <v>19</v>
          </cell>
          <cell r="H356" t="str">
            <v>PROJ</v>
          </cell>
        </row>
        <row r="357">
          <cell r="B357">
            <v>905</v>
          </cell>
          <cell r="E357" t="str">
            <v>A03-K24-M</v>
          </cell>
          <cell r="G357">
            <v>19</v>
          </cell>
          <cell r="H357" t="str">
            <v>PROJ</v>
          </cell>
        </row>
        <row r="358">
          <cell r="B358">
            <v>906</v>
          </cell>
          <cell r="E358" t="str">
            <v>A07-K24</v>
          </cell>
          <cell r="G358">
            <v>20</v>
          </cell>
          <cell r="H358" t="str">
            <v>PROJ</v>
          </cell>
        </row>
        <row r="359">
          <cell r="B359">
            <v>907</v>
          </cell>
          <cell r="E359" t="str">
            <v>A03-K24</v>
          </cell>
          <cell r="G359">
            <v>20</v>
          </cell>
          <cell r="H359" t="str">
            <v>PROJ</v>
          </cell>
        </row>
        <row r="360">
          <cell r="B360">
            <v>908</v>
          </cell>
          <cell r="E360" t="str">
            <v>C4-K24</v>
          </cell>
          <cell r="G360">
            <v>20</v>
          </cell>
          <cell r="H360" t="str">
            <v>PROJ</v>
          </cell>
        </row>
        <row r="361">
          <cell r="B361">
            <v>909</v>
          </cell>
          <cell r="E361" t="str">
            <v>A03-K24</v>
          </cell>
          <cell r="G361">
            <v>20</v>
          </cell>
          <cell r="H361" t="str">
            <v>PROJ</v>
          </cell>
        </row>
        <row r="362">
          <cell r="B362">
            <v>910</v>
          </cell>
          <cell r="E362" t="str">
            <v>A03-K24-M</v>
          </cell>
          <cell r="G362">
            <v>20</v>
          </cell>
          <cell r="H362" t="str">
            <v>PROJ</v>
          </cell>
        </row>
        <row r="363">
          <cell r="B363">
            <v>911</v>
          </cell>
          <cell r="E363" t="str">
            <v>A03-K24-M</v>
          </cell>
          <cell r="G363">
            <v>20</v>
          </cell>
          <cell r="H363" t="str">
            <v>PROJ</v>
          </cell>
        </row>
        <row r="364">
          <cell r="B364">
            <v>912</v>
          </cell>
          <cell r="E364" t="str">
            <v>A02-K24</v>
          </cell>
          <cell r="G364">
            <v>20</v>
          </cell>
          <cell r="H364" t="str">
            <v>PROJ</v>
          </cell>
        </row>
        <row r="365">
          <cell r="B365">
            <v>913</v>
          </cell>
          <cell r="E365" t="str">
            <v>C1-K30</v>
          </cell>
          <cell r="G365">
            <v>20</v>
          </cell>
          <cell r="H365" t="str">
            <v>PROJ</v>
          </cell>
        </row>
        <row r="366">
          <cell r="B366">
            <v>914</v>
          </cell>
          <cell r="E366" t="str">
            <v>A07-K24-M</v>
          </cell>
          <cell r="G366">
            <v>20</v>
          </cell>
          <cell r="H366" t="str">
            <v>PROJ</v>
          </cell>
        </row>
        <row r="367">
          <cell r="B367">
            <v>915</v>
          </cell>
          <cell r="E367" t="str">
            <v>A04-K24</v>
          </cell>
          <cell r="G367">
            <v>20</v>
          </cell>
          <cell r="H367" t="str">
            <v>PROJ</v>
          </cell>
        </row>
        <row r="368">
          <cell r="B368">
            <v>916</v>
          </cell>
          <cell r="E368" t="str">
            <v>A01-K24-M</v>
          </cell>
          <cell r="G368">
            <v>20</v>
          </cell>
          <cell r="H368" t="str">
            <v>PROJ</v>
          </cell>
        </row>
        <row r="369">
          <cell r="B369">
            <v>917</v>
          </cell>
          <cell r="E369" t="str">
            <v>A05-K30</v>
          </cell>
          <cell r="G369">
            <v>20</v>
          </cell>
          <cell r="H369" t="str">
            <v>PROJ</v>
          </cell>
        </row>
        <row r="370">
          <cell r="B370">
            <v>918</v>
          </cell>
          <cell r="E370" t="str">
            <v>A02-K24-A</v>
          </cell>
          <cell r="G370">
            <v>20</v>
          </cell>
          <cell r="H370" t="str">
            <v>PROJ</v>
          </cell>
        </row>
        <row r="371">
          <cell r="B371">
            <v>919</v>
          </cell>
          <cell r="E371" t="str">
            <v>A03-K24-M</v>
          </cell>
          <cell r="G371">
            <v>20</v>
          </cell>
          <cell r="H371" t="str">
            <v>PROJ</v>
          </cell>
        </row>
        <row r="372">
          <cell r="B372">
            <v>920</v>
          </cell>
          <cell r="E372" t="str">
            <v>A02-K24-AM</v>
          </cell>
          <cell r="G372">
            <v>20</v>
          </cell>
          <cell r="H372" t="str">
            <v>PROJ</v>
          </cell>
        </row>
        <row r="373">
          <cell r="B373">
            <v>921</v>
          </cell>
          <cell r="E373" t="str">
            <v>A06-K24-AM</v>
          </cell>
          <cell r="G373">
            <v>20</v>
          </cell>
          <cell r="H373" t="str">
            <v>PROJ</v>
          </cell>
        </row>
        <row r="374">
          <cell r="B374">
            <v>922</v>
          </cell>
          <cell r="E374" t="str">
            <v>A02-K24-M</v>
          </cell>
          <cell r="G374">
            <v>20</v>
          </cell>
          <cell r="H374" t="str">
            <v>PROJ</v>
          </cell>
        </row>
        <row r="375">
          <cell r="B375">
            <v>923</v>
          </cell>
          <cell r="E375" t="str">
            <v>A03-K24-AM</v>
          </cell>
          <cell r="G375">
            <v>20</v>
          </cell>
          <cell r="H375" t="str">
            <v>PROJ</v>
          </cell>
        </row>
        <row r="376">
          <cell r="B376">
            <v>924</v>
          </cell>
          <cell r="E376" t="str">
            <v>A07-K24</v>
          </cell>
          <cell r="G376">
            <v>21</v>
          </cell>
          <cell r="H376" t="str">
            <v>PROJ</v>
          </cell>
        </row>
        <row r="377">
          <cell r="B377">
            <v>925</v>
          </cell>
          <cell r="E377" t="str">
            <v>B02L-K24</v>
          </cell>
          <cell r="G377">
            <v>21</v>
          </cell>
          <cell r="H377" t="str">
            <v>PROJ</v>
          </cell>
        </row>
        <row r="378">
          <cell r="B378">
            <v>926</v>
          </cell>
          <cell r="E378" t="str">
            <v>B03L-K24-A</v>
          </cell>
          <cell r="G378">
            <v>21</v>
          </cell>
          <cell r="H378" t="str">
            <v>PROJ</v>
          </cell>
        </row>
        <row r="379">
          <cell r="B379">
            <v>927</v>
          </cell>
          <cell r="E379" t="str">
            <v>B04L-K24-A</v>
          </cell>
          <cell r="G379">
            <v>21</v>
          </cell>
          <cell r="H379" t="str">
            <v>PROJ</v>
          </cell>
        </row>
        <row r="380">
          <cell r="B380">
            <v>928</v>
          </cell>
          <cell r="E380" t="str">
            <v>A07-K24-A</v>
          </cell>
          <cell r="G380">
            <v>21</v>
          </cell>
          <cell r="H380" t="str">
            <v>PROJ</v>
          </cell>
        </row>
        <row r="381">
          <cell r="B381">
            <v>929</v>
          </cell>
          <cell r="E381" t="str">
            <v>A07-K24-AM</v>
          </cell>
          <cell r="G381">
            <v>21</v>
          </cell>
          <cell r="H381" t="str">
            <v>PROJ</v>
          </cell>
        </row>
        <row r="382">
          <cell r="B382">
            <v>930</v>
          </cell>
          <cell r="E382" t="str">
            <v>A09-K24-M</v>
          </cell>
          <cell r="G382">
            <v>21</v>
          </cell>
          <cell r="H382" t="str">
            <v>PROJ</v>
          </cell>
        </row>
        <row r="383">
          <cell r="B383">
            <v>931</v>
          </cell>
          <cell r="E383" t="str">
            <v>C2-K30</v>
          </cell>
          <cell r="G383">
            <v>21</v>
          </cell>
          <cell r="H383" t="str">
            <v>PROJ</v>
          </cell>
        </row>
        <row r="384">
          <cell r="B384">
            <v>932</v>
          </cell>
          <cell r="E384" t="str">
            <v>C3-K30-A</v>
          </cell>
          <cell r="G384">
            <v>21</v>
          </cell>
          <cell r="H384" t="str">
            <v>PROJ</v>
          </cell>
        </row>
        <row r="385">
          <cell r="B385">
            <v>933</v>
          </cell>
          <cell r="E385" t="str">
            <v>B01L-K30</v>
          </cell>
          <cell r="G385">
            <v>21</v>
          </cell>
          <cell r="H385" t="str">
            <v>PROJ</v>
          </cell>
        </row>
        <row r="386">
          <cell r="B386">
            <v>934</v>
          </cell>
          <cell r="E386" t="str">
            <v>A07-K24</v>
          </cell>
          <cell r="G386">
            <v>21</v>
          </cell>
          <cell r="H386" t="str">
            <v>PROJ</v>
          </cell>
        </row>
        <row r="387">
          <cell r="B387">
            <v>935</v>
          </cell>
          <cell r="E387" t="str">
            <v>A02-K24</v>
          </cell>
          <cell r="G387">
            <v>21</v>
          </cell>
          <cell r="H387" t="str">
            <v>PROJ</v>
          </cell>
        </row>
        <row r="388">
          <cell r="B388">
            <v>936</v>
          </cell>
          <cell r="E388" t="str">
            <v>A03-K24</v>
          </cell>
          <cell r="G388">
            <v>21</v>
          </cell>
          <cell r="H388" t="str">
            <v>PROJ</v>
          </cell>
        </row>
        <row r="389">
          <cell r="B389">
            <v>937</v>
          </cell>
          <cell r="E389" t="str">
            <v>A07-K24-M</v>
          </cell>
          <cell r="G389">
            <v>21</v>
          </cell>
          <cell r="H389" t="str">
            <v>PROJ</v>
          </cell>
        </row>
        <row r="390">
          <cell r="B390">
            <v>938</v>
          </cell>
          <cell r="E390" t="str">
            <v>A07-K24</v>
          </cell>
          <cell r="G390">
            <v>21</v>
          </cell>
          <cell r="H390" t="str">
            <v>PROJ</v>
          </cell>
        </row>
        <row r="391">
          <cell r="B391">
            <v>939</v>
          </cell>
          <cell r="E391" t="str">
            <v>A10-K30</v>
          </cell>
          <cell r="G391">
            <v>21</v>
          </cell>
          <cell r="H391" t="str">
            <v>PROJ</v>
          </cell>
        </row>
        <row r="392">
          <cell r="B392">
            <v>940</v>
          </cell>
          <cell r="E392" t="str">
            <v>A01-K24-M</v>
          </cell>
          <cell r="G392">
            <v>21</v>
          </cell>
          <cell r="H392" t="str">
            <v>PROJ</v>
          </cell>
        </row>
        <row r="393">
          <cell r="B393">
            <v>941</v>
          </cell>
          <cell r="E393" t="str">
            <v>A04-K24</v>
          </cell>
          <cell r="G393">
            <v>21</v>
          </cell>
          <cell r="H393" t="str">
            <v>PROJ</v>
          </cell>
        </row>
        <row r="394">
          <cell r="B394">
            <v>942</v>
          </cell>
          <cell r="E394" t="str">
            <v>A03-K24-M</v>
          </cell>
          <cell r="G394">
            <v>22</v>
          </cell>
          <cell r="H394" t="str">
            <v>PROJ</v>
          </cell>
        </row>
        <row r="395">
          <cell r="B395">
            <v>943</v>
          </cell>
          <cell r="E395" t="str">
            <v>B06L-K24</v>
          </cell>
          <cell r="G395">
            <v>22</v>
          </cell>
          <cell r="H395" t="str">
            <v>PROJ</v>
          </cell>
        </row>
        <row r="396">
          <cell r="B396">
            <v>944</v>
          </cell>
          <cell r="E396" t="str">
            <v>A03-K24-M</v>
          </cell>
          <cell r="G396">
            <v>22</v>
          </cell>
          <cell r="H396" t="str">
            <v>PROJ</v>
          </cell>
        </row>
        <row r="397">
          <cell r="B397">
            <v>945</v>
          </cell>
          <cell r="E397" t="str">
            <v>A03-K24-M</v>
          </cell>
          <cell r="G397">
            <v>22</v>
          </cell>
          <cell r="H397" t="str">
            <v>PROJ</v>
          </cell>
        </row>
        <row r="398">
          <cell r="B398">
            <v>946</v>
          </cell>
          <cell r="E398" t="str">
            <v>A03-K24-M</v>
          </cell>
          <cell r="G398">
            <v>22</v>
          </cell>
          <cell r="H398" t="str">
            <v>PROJ</v>
          </cell>
        </row>
        <row r="399">
          <cell r="B399">
            <v>947</v>
          </cell>
          <cell r="E399" t="str">
            <v>A03-K24-M</v>
          </cell>
          <cell r="G399">
            <v>22</v>
          </cell>
          <cell r="H399" t="str">
            <v>PROJ</v>
          </cell>
        </row>
        <row r="400">
          <cell r="B400">
            <v>948</v>
          </cell>
          <cell r="E400" t="str">
            <v>A02-K24</v>
          </cell>
          <cell r="G400">
            <v>22</v>
          </cell>
          <cell r="H400" t="str">
            <v>PROJ</v>
          </cell>
        </row>
        <row r="401">
          <cell r="B401">
            <v>949</v>
          </cell>
          <cell r="E401" t="str">
            <v>A07-K24-A</v>
          </cell>
          <cell r="G401">
            <v>22</v>
          </cell>
          <cell r="H401" t="str">
            <v>PROJ</v>
          </cell>
        </row>
        <row r="402">
          <cell r="B402">
            <v>950</v>
          </cell>
          <cell r="E402" t="str">
            <v>A07-K24</v>
          </cell>
          <cell r="G402" t="str">
            <v>H1</v>
          </cell>
          <cell r="H402" t="str">
            <v>PROJ</v>
          </cell>
        </row>
        <row r="403">
          <cell r="B403">
            <v>951</v>
          </cell>
          <cell r="E403" t="str">
            <v>A03-K24-A</v>
          </cell>
          <cell r="G403" t="str">
            <v>H1</v>
          </cell>
          <cell r="H403" t="str">
            <v>PROJ</v>
          </cell>
        </row>
        <row r="404">
          <cell r="B404">
            <v>952</v>
          </cell>
          <cell r="E404" t="str">
            <v>A02-K24-A</v>
          </cell>
          <cell r="G404">
            <v>22</v>
          </cell>
          <cell r="H404" t="str">
            <v>PROJ</v>
          </cell>
        </row>
        <row r="405">
          <cell r="B405">
            <v>953</v>
          </cell>
          <cell r="E405" t="str">
            <v>A07-K24-M</v>
          </cell>
          <cell r="G405">
            <v>22</v>
          </cell>
          <cell r="H405" t="str">
            <v>PROJ</v>
          </cell>
        </row>
        <row r="406">
          <cell r="B406">
            <v>954</v>
          </cell>
          <cell r="E406" t="str">
            <v>B04L-K24-M</v>
          </cell>
          <cell r="G406">
            <v>22</v>
          </cell>
          <cell r="H406" t="str">
            <v>PROJ</v>
          </cell>
        </row>
        <row r="407">
          <cell r="B407">
            <v>955</v>
          </cell>
          <cell r="E407" t="str">
            <v>A01-K24-M</v>
          </cell>
          <cell r="G407">
            <v>22</v>
          </cell>
          <cell r="H407" t="str">
            <v>PROJ</v>
          </cell>
        </row>
        <row r="408">
          <cell r="B408">
            <v>956</v>
          </cell>
          <cell r="E408" t="str">
            <v>B08L-K24</v>
          </cell>
          <cell r="G408">
            <v>22</v>
          </cell>
          <cell r="H408" t="str">
            <v>PROJ</v>
          </cell>
        </row>
        <row r="409">
          <cell r="B409">
            <v>957</v>
          </cell>
          <cell r="E409" t="str">
            <v>A03-K24-M</v>
          </cell>
          <cell r="G409">
            <v>22</v>
          </cell>
          <cell r="H409" t="str">
            <v>PROJ</v>
          </cell>
        </row>
        <row r="410">
          <cell r="B410">
            <v>958</v>
          </cell>
          <cell r="E410" t="str">
            <v>B12L-K24</v>
          </cell>
          <cell r="G410">
            <v>22</v>
          </cell>
          <cell r="H410" t="str">
            <v>PROJ</v>
          </cell>
        </row>
        <row r="411">
          <cell r="B411">
            <v>1001</v>
          </cell>
          <cell r="E411" t="str">
            <v>A01-K24-A</v>
          </cell>
          <cell r="G411">
            <v>22</v>
          </cell>
          <cell r="H411" t="str">
            <v>PROJ</v>
          </cell>
        </row>
        <row r="412">
          <cell r="B412">
            <v>1002</v>
          </cell>
          <cell r="E412" t="str">
            <v>A02-K24</v>
          </cell>
          <cell r="G412">
            <v>23</v>
          </cell>
          <cell r="H412" t="str">
            <v>PROJ</v>
          </cell>
        </row>
        <row r="413">
          <cell r="B413">
            <v>1003</v>
          </cell>
          <cell r="E413" t="str">
            <v>A03-K24</v>
          </cell>
          <cell r="G413">
            <v>23</v>
          </cell>
          <cell r="H413" t="str">
            <v>PROJ</v>
          </cell>
        </row>
        <row r="414">
          <cell r="B414">
            <v>1004</v>
          </cell>
          <cell r="E414" t="str">
            <v>A03-K24-M</v>
          </cell>
          <cell r="G414">
            <v>23</v>
          </cell>
          <cell r="H414" t="str">
            <v>PROJ</v>
          </cell>
        </row>
        <row r="415">
          <cell r="B415">
            <v>1005</v>
          </cell>
          <cell r="E415" t="str">
            <v>A03-K24-M</v>
          </cell>
          <cell r="G415">
            <v>23</v>
          </cell>
          <cell r="H415" t="str">
            <v>PROJ</v>
          </cell>
        </row>
        <row r="416">
          <cell r="B416">
            <v>1006</v>
          </cell>
          <cell r="E416" t="str">
            <v>A07-K24</v>
          </cell>
          <cell r="G416">
            <v>23</v>
          </cell>
          <cell r="H416" t="str">
            <v>PROJ</v>
          </cell>
        </row>
        <row r="417">
          <cell r="B417">
            <v>1007</v>
          </cell>
          <cell r="E417" t="str">
            <v>A03-K24</v>
          </cell>
          <cell r="G417">
            <v>23</v>
          </cell>
          <cell r="H417" t="str">
            <v>PROJ</v>
          </cell>
        </row>
        <row r="418">
          <cell r="B418">
            <v>1008</v>
          </cell>
          <cell r="E418" t="str">
            <v>C4-K24</v>
          </cell>
          <cell r="G418">
            <v>23</v>
          </cell>
          <cell r="H418" t="str">
            <v>PROJ</v>
          </cell>
        </row>
        <row r="419">
          <cell r="B419">
            <v>1009</v>
          </cell>
          <cell r="E419" t="str">
            <v>A03-K24</v>
          </cell>
          <cell r="G419">
            <v>23</v>
          </cell>
          <cell r="H419" t="str">
            <v>PROJ</v>
          </cell>
        </row>
        <row r="420">
          <cell r="B420">
            <v>1010</v>
          </cell>
          <cell r="E420" t="str">
            <v>A03-K24-M</v>
          </cell>
          <cell r="G420">
            <v>23</v>
          </cell>
          <cell r="H420" t="str">
            <v>PROJ</v>
          </cell>
        </row>
        <row r="421">
          <cell r="B421">
            <v>1011</v>
          </cell>
          <cell r="E421" t="str">
            <v>A03-K24-M</v>
          </cell>
          <cell r="G421">
            <v>23</v>
          </cell>
          <cell r="H421" t="str">
            <v>PROJ</v>
          </cell>
        </row>
        <row r="422">
          <cell r="B422">
            <v>1012</v>
          </cell>
          <cell r="E422" t="str">
            <v>A02-K24</v>
          </cell>
          <cell r="G422">
            <v>23</v>
          </cell>
          <cell r="H422" t="str">
            <v>PROJ</v>
          </cell>
        </row>
        <row r="423">
          <cell r="B423">
            <v>1013</v>
          </cell>
          <cell r="E423" t="str">
            <v>C1-K30</v>
          </cell>
          <cell r="G423">
            <v>23</v>
          </cell>
          <cell r="H423" t="str">
            <v>PROJ</v>
          </cell>
        </row>
        <row r="424">
          <cell r="B424">
            <v>1014</v>
          </cell>
          <cell r="E424" t="str">
            <v>A07-K24-M</v>
          </cell>
          <cell r="G424">
            <v>23</v>
          </cell>
          <cell r="H424" t="str">
            <v>PROJ</v>
          </cell>
        </row>
        <row r="425">
          <cell r="B425">
            <v>1015</v>
          </cell>
          <cell r="E425" t="str">
            <v>A04-K24</v>
          </cell>
          <cell r="G425">
            <v>23</v>
          </cell>
          <cell r="H425" t="str">
            <v>PROJ</v>
          </cell>
        </row>
        <row r="426">
          <cell r="B426">
            <v>1016</v>
          </cell>
          <cell r="E426" t="str">
            <v>A01-K24-M</v>
          </cell>
          <cell r="G426">
            <v>23</v>
          </cell>
          <cell r="H426" t="str">
            <v>PROJ</v>
          </cell>
        </row>
        <row r="427">
          <cell r="B427">
            <v>1017</v>
          </cell>
          <cell r="E427" t="str">
            <v>A05-K30</v>
          </cell>
          <cell r="G427">
            <v>23</v>
          </cell>
          <cell r="H427" t="str">
            <v>PROJ</v>
          </cell>
        </row>
        <row r="428">
          <cell r="B428">
            <v>1018</v>
          </cell>
          <cell r="E428" t="str">
            <v>A02-K24-A</v>
          </cell>
          <cell r="G428">
            <v>23</v>
          </cell>
          <cell r="H428" t="str">
            <v>PROJ</v>
          </cell>
        </row>
        <row r="429">
          <cell r="B429">
            <v>1019</v>
          </cell>
          <cell r="E429" t="str">
            <v>A03-K24-M</v>
          </cell>
          <cell r="G429">
            <v>23</v>
          </cell>
          <cell r="H429" t="str">
            <v>PROJ</v>
          </cell>
        </row>
        <row r="430">
          <cell r="B430">
            <v>1020</v>
          </cell>
          <cell r="E430" t="str">
            <v>A02-K24-AM</v>
          </cell>
          <cell r="G430">
            <v>24</v>
          </cell>
          <cell r="H430" t="str">
            <v>PROJ</v>
          </cell>
        </row>
        <row r="431">
          <cell r="B431">
            <v>1021</v>
          </cell>
          <cell r="E431" t="str">
            <v>A06-K24-AM</v>
          </cell>
          <cell r="G431">
            <v>24</v>
          </cell>
          <cell r="H431" t="str">
            <v>PROJ</v>
          </cell>
        </row>
        <row r="432">
          <cell r="B432">
            <v>1022</v>
          </cell>
          <cell r="E432" t="str">
            <v>A02-K24-M</v>
          </cell>
          <cell r="G432">
            <v>24</v>
          </cell>
          <cell r="H432" t="str">
            <v>PROJ</v>
          </cell>
        </row>
        <row r="433">
          <cell r="B433">
            <v>1023</v>
          </cell>
          <cell r="E433" t="str">
            <v>A03-K24-AM</v>
          </cell>
          <cell r="G433">
            <v>24</v>
          </cell>
          <cell r="H433" t="str">
            <v>PROJ</v>
          </cell>
        </row>
        <row r="434">
          <cell r="B434">
            <v>1024</v>
          </cell>
          <cell r="E434" t="str">
            <v>A07-K24</v>
          </cell>
          <cell r="G434">
            <v>24</v>
          </cell>
          <cell r="H434" t="str">
            <v>PROJ</v>
          </cell>
        </row>
        <row r="435">
          <cell r="B435">
            <v>1025</v>
          </cell>
          <cell r="E435" t="str">
            <v>B02L-K24</v>
          </cell>
          <cell r="G435">
            <v>24</v>
          </cell>
          <cell r="H435" t="str">
            <v>PROJ</v>
          </cell>
        </row>
        <row r="436">
          <cell r="B436">
            <v>1026</v>
          </cell>
          <cell r="E436" t="str">
            <v>B03L-K24-A</v>
          </cell>
          <cell r="G436">
            <v>24</v>
          </cell>
          <cell r="H436" t="str">
            <v>PROJ</v>
          </cell>
        </row>
        <row r="437">
          <cell r="B437">
            <v>1027</v>
          </cell>
          <cell r="E437" t="str">
            <v>B04L-K24-A</v>
          </cell>
          <cell r="G437">
            <v>24</v>
          </cell>
          <cell r="H437" t="str">
            <v>PROJ</v>
          </cell>
        </row>
        <row r="438">
          <cell r="B438">
            <v>1028</v>
          </cell>
          <cell r="E438" t="str">
            <v>A07-K24-A</v>
          </cell>
          <cell r="G438">
            <v>24</v>
          </cell>
          <cell r="H438" t="str">
            <v>PROJ</v>
          </cell>
        </row>
        <row r="439">
          <cell r="B439">
            <v>1029</v>
          </cell>
          <cell r="E439" t="str">
            <v>A07-K24-AM</v>
          </cell>
          <cell r="G439">
            <v>24</v>
          </cell>
          <cell r="H439" t="str">
            <v>PROJ</v>
          </cell>
        </row>
        <row r="440">
          <cell r="B440">
            <v>1030</v>
          </cell>
          <cell r="E440" t="str">
            <v>A09-K24-M</v>
          </cell>
          <cell r="G440">
            <v>24</v>
          </cell>
          <cell r="H440" t="str">
            <v>PROJ</v>
          </cell>
        </row>
        <row r="441">
          <cell r="B441">
            <v>1031</v>
          </cell>
          <cell r="E441" t="str">
            <v>C2-K30</v>
          </cell>
          <cell r="G441">
            <v>24</v>
          </cell>
          <cell r="H441" t="str">
            <v>PROJ</v>
          </cell>
        </row>
        <row r="442">
          <cell r="B442">
            <v>1032</v>
          </cell>
          <cell r="E442" t="str">
            <v>C3-K30-A</v>
          </cell>
          <cell r="G442">
            <v>24</v>
          </cell>
          <cell r="H442" t="str">
            <v>PROJ</v>
          </cell>
        </row>
        <row r="443">
          <cell r="B443">
            <v>1033</v>
          </cell>
          <cell r="E443" t="str">
            <v>B01L-K30</v>
          </cell>
          <cell r="G443">
            <v>24</v>
          </cell>
          <cell r="H443" t="str">
            <v>PROJ</v>
          </cell>
        </row>
        <row r="444">
          <cell r="B444">
            <v>1034</v>
          </cell>
          <cell r="E444" t="str">
            <v>A07-K24</v>
          </cell>
          <cell r="G444">
            <v>24</v>
          </cell>
          <cell r="H444" t="str">
            <v>PROJ</v>
          </cell>
        </row>
        <row r="445">
          <cell r="B445">
            <v>1035</v>
          </cell>
          <cell r="E445" t="str">
            <v>A02-K24</v>
          </cell>
          <cell r="G445">
            <v>24</v>
          </cell>
          <cell r="H445" t="str">
            <v>PROJ</v>
          </cell>
        </row>
        <row r="446">
          <cell r="B446">
            <v>1036</v>
          </cell>
          <cell r="E446" t="str">
            <v>A03-K24</v>
          </cell>
          <cell r="G446">
            <v>24</v>
          </cell>
          <cell r="H446" t="str">
            <v>PROJ</v>
          </cell>
        </row>
        <row r="447">
          <cell r="B447">
            <v>1037</v>
          </cell>
          <cell r="E447" t="str">
            <v>A07-K24-M</v>
          </cell>
          <cell r="G447">
            <v>24</v>
          </cell>
          <cell r="H447" t="str">
            <v>PROJ</v>
          </cell>
        </row>
        <row r="448">
          <cell r="B448">
            <v>1038</v>
          </cell>
          <cell r="E448" t="str">
            <v>A07-K24</v>
          </cell>
          <cell r="G448">
            <v>25</v>
          </cell>
          <cell r="H448" t="str">
            <v>PROJ</v>
          </cell>
        </row>
        <row r="449">
          <cell r="B449">
            <v>1039</v>
          </cell>
          <cell r="E449" t="str">
            <v>A10-K30</v>
          </cell>
          <cell r="G449">
            <v>25</v>
          </cell>
          <cell r="H449" t="str">
            <v>PROJ</v>
          </cell>
        </row>
        <row r="450">
          <cell r="B450">
            <v>1040</v>
          </cell>
          <cell r="E450" t="str">
            <v>A01-K24-M</v>
          </cell>
          <cell r="G450">
            <v>25</v>
          </cell>
          <cell r="H450" t="str">
            <v>PROJ</v>
          </cell>
        </row>
        <row r="451">
          <cell r="B451">
            <v>1041</v>
          </cell>
          <cell r="E451" t="str">
            <v>A04-K24</v>
          </cell>
          <cell r="G451">
            <v>25</v>
          </cell>
          <cell r="H451" t="str">
            <v>PROJ</v>
          </cell>
        </row>
        <row r="452">
          <cell r="B452">
            <v>1042</v>
          </cell>
          <cell r="E452" t="str">
            <v>A03-K24-M</v>
          </cell>
          <cell r="G452">
            <v>25</v>
          </cell>
          <cell r="H452" t="str">
            <v>PROJ</v>
          </cell>
        </row>
        <row r="453">
          <cell r="B453">
            <v>1043</v>
          </cell>
          <cell r="E453" t="str">
            <v>B06L-K24</v>
          </cell>
          <cell r="G453">
            <v>25</v>
          </cell>
          <cell r="H453" t="str">
            <v>PROJ</v>
          </cell>
        </row>
        <row r="454">
          <cell r="B454">
            <v>1044</v>
          </cell>
          <cell r="E454" t="str">
            <v>A03-K24-M</v>
          </cell>
          <cell r="G454">
            <v>25</v>
          </cell>
          <cell r="H454" t="str">
            <v>PROJ</v>
          </cell>
        </row>
        <row r="455">
          <cell r="B455">
            <v>1045</v>
          </cell>
          <cell r="E455" t="str">
            <v>A03-K24-M</v>
          </cell>
          <cell r="G455">
            <v>25</v>
          </cell>
          <cell r="H455" t="str">
            <v>PROJ</v>
          </cell>
        </row>
        <row r="456">
          <cell r="B456">
            <v>1046</v>
          </cell>
          <cell r="E456" t="str">
            <v>A03-K24-M</v>
          </cell>
          <cell r="G456">
            <v>25</v>
          </cell>
          <cell r="H456" t="str">
            <v>PROJ</v>
          </cell>
        </row>
        <row r="457">
          <cell r="B457">
            <v>1047</v>
          </cell>
          <cell r="E457" t="str">
            <v>A03-K24-M</v>
          </cell>
          <cell r="G457">
            <v>25</v>
          </cell>
          <cell r="H457" t="str">
            <v>PROJ</v>
          </cell>
        </row>
        <row r="458">
          <cell r="B458">
            <v>1048</v>
          </cell>
          <cell r="E458" t="str">
            <v>A02-K24</v>
          </cell>
          <cell r="G458">
            <v>25</v>
          </cell>
          <cell r="H458" t="str">
            <v>PROJ</v>
          </cell>
        </row>
        <row r="459">
          <cell r="B459">
            <v>1049</v>
          </cell>
          <cell r="E459" t="str">
            <v>A07-K24-A</v>
          </cell>
          <cell r="G459">
            <v>25</v>
          </cell>
          <cell r="H459" t="str">
            <v>PROJ</v>
          </cell>
        </row>
        <row r="460">
          <cell r="B460">
            <v>1050</v>
          </cell>
          <cell r="E460" t="str">
            <v>A07-K24</v>
          </cell>
          <cell r="G460" t="str">
            <v>H1</v>
          </cell>
          <cell r="H460" t="str">
            <v>PROJ</v>
          </cell>
        </row>
        <row r="461">
          <cell r="B461">
            <v>1051</v>
          </cell>
          <cell r="E461" t="str">
            <v>A03-K24-A</v>
          </cell>
          <cell r="G461" t="str">
            <v>H1</v>
          </cell>
          <cell r="H461" t="str">
            <v>PROJ</v>
          </cell>
        </row>
        <row r="462">
          <cell r="B462">
            <v>1052</v>
          </cell>
          <cell r="E462" t="str">
            <v>A02-K24-A</v>
          </cell>
          <cell r="G462">
            <v>25</v>
          </cell>
          <cell r="H462" t="str">
            <v>PROJ</v>
          </cell>
        </row>
        <row r="463">
          <cell r="B463">
            <v>1053</v>
          </cell>
          <cell r="E463" t="str">
            <v>A07-K24-M</v>
          </cell>
          <cell r="G463">
            <v>25</v>
          </cell>
          <cell r="H463" t="str">
            <v>PROJ</v>
          </cell>
        </row>
        <row r="464">
          <cell r="B464">
            <v>1054</v>
          </cell>
          <cell r="E464" t="str">
            <v>B04L-K24-M</v>
          </cell>
          <cell r="G464">
            <v>25</v>
          </cell>
          <cell r="H464" t="str">
            <v>PROJ</v>
          </cell>
        </row>
        <row r="465">
          <cell r="B465">
            <v>1055</v>
          </cell>
          <cell r="E465" t="str">
            <v>A01-K24-M</v>
          </cell>
          <cell r="G465">
            <v>25</v>
          </cell>
          <cell r="H465" t="str">
            <v>PROJ</v>
          </cell>
        </row>
        <row r="466">
          <cell r="B466">
            <v>1056</v>
          </cell>
          <cell r="E466" t="str">
            <v>B08L-K24</v>
          </cell>
          <cell r="G466">
            <v>26</v>
          </cell>
          <cell r="H466" t="str">
            <v>PROJ</v>
          </cell>
        </row>
        <row r="467">
          <cell r="B467">
            <v>1057</v>
          </cell>
          <cell r="E467" t="str">
            <v>A03-K24-M</v>
          </cell>
          <cell r="G467">
            <v>26</v>
          </cell>
          <cell r="H467" t="str">
            <v>PROJ</v>
          </cell>
        </row>
        <row r="468">
          <cell r="B468">
            <v>1058</v>
          </cell>
          <cell r="E468" t="str">
            <v>B12L-K24</v>
          </cell>
          <cell r="G468">
            <v>26</v>
          </cell>
          <cell r="H468" t="str">
            <v>PROJ</v>
          </cell>
        </row>
        <row r="469">
          <cell r="B469">
            <v>1101</v>
          </cell>
          <cell r="E469" t="str">
            <v>A01-K24-A</v>
          </cell>
          <cell r="G469">
            <v>26</v>
          </cell>
          <cell r="H469" t="str">
            <v>PROJ</v>
          </cell>
        </row>
        <row r="470">
          <cell r="B470">
            <v>1102</v>
          </cell>
          <cell r="E470" t="str">
            <v>A02-K24</v>
          </cell>
          <cell r="G470">
            <v>26</v>
          </cell>
          <cell r="H470" t="str">
            <v>PROJ</v>
          </cell>
        </row>
        <row r="471">
          <cell r="B471">
            <v>1103</v>
          </cell>
          <cell r="E471" t="str">
            <v>A03-K24</v>
          </cell>
          <cell r="G471">
            <v>26</v>
          </cell>
          <cell r="H471" t="str">
            <v>PROJ</v>
          </cell>
        </row>
        <row r="472">
          <cell r="B472">
            <v>1104</v>
          </cell>
          <cell r="E472" t="str">
            <v>A03-K24-M</v>
          </cell>
          <cell r="G472">
            <v>26</v>
          </cell>
          <cell r="H472" t="str">
            <v>PROJ</v>
          </cell>
        </row>
        <row r="473">
          <cell r="B473">
            <v>1105</v>
          </cell>
          <cell r="E473" t="str">
            <v>A03-K24-M</v>
          </cell>
          <cell r="G473">
            <v>26</v>
          </cell>
          <cell r="H473" t="str">
            <v>PROJ</v>
          </cell>
        </row>
        <row r="474">
          <cell r="B474">
            <v>1106</v>
          </cell>
          <cell r="E474" t="str">
            <v>A07-K24</v>
          </cell>
          <cell r="G474">
            <v>26</v>
          </cell>
          <cell r="H474" t="str">
            <v>PROJ</v>
          </cell>
        </row>
        <row r="475">
          <cell r="B475">
            <v>1107</v>
          </cell>
          <cell r="E475" t="str">
            <v>A03-K24</v>
          </cell>
          <cell r="G475">
            <v>26</v>
          </cell>
          <cell r="H475" t="str">
            <v>PROJ</v>
          </cell>
        </row>
        <row r="476">
          <cell r="B476">
            <v>1108</v>
          </cell>
          <cell r="E476" t="str">
            <v>C4-K24</v>
          </cell>
          <cell r="G476">
            <v>26</v>
          </cell>
          <cell r="H476" t="str">
            <v>PROJ</v>
          </cell>
        </row>
        <row r="477">
          <cell r="B477">
            <v>1109</v>
          </cell>
          <cell r="E477" t="str">
            <v>A03-K24</v>
          </cell>
          <cell r="G477">
            <v>26</v>
          </cell>
          <cell r="H477" t="str">
            <v>PROJ</v>
          </cell>
        </row>
        <row r="478">
          <cell r="B478">
            <v>1110</v>
          </cell>
          <cell r="E478" t="str">
            <v>A03-K24-M</v>
          </cell>
          <cell r="G478">
            <v>26</v>
          </cell>
          <cell r="H478" t="str">
            <v>PROJ</v>
          </cell>
        </row>
        <row r="479">
          <cell r="B479">
            <v>1111</v>
          </cell>
          <cell r="E479" t="str">
            <v>A03-K24-M</v>
          </cell>
          <cell r="G479">
            <v>26</v>
          </cell>
          <cell r="H479" t="str">
            <v>PROJ</v>
          </cell>
        </row>
        <row r="480">
          <cell r="B480">
            <v>1112</v>
          </cell>
          <cell r="E480" t="str">
            <v>A02-K24</v>
          </cell>
          <cell r="G480">
            <v>26</v>
          </cell>
          <cell r="H480" t="str">
            <v>PROJ</v>
          </cell>
        </row>
        <row r="481">
          <cell r="B481">
            <v>1113</v>
          </cell>
          <cell r="E481" t="str">
            <v>C1-K30</v>
          </cell>
          <cell r="G481">
            <v>26</v>
          </cell>
          <cell r="H481" t="str">
            <v>PROJ</v>
          </cell>
        </row>
        <row r="482">
          <cell r="B482">
            <v>1114</v>
          </cell>
          <cell r="E482" t="str">
            <v>A07-K24-M</v>
          </cell>
          <cell r="G482">
            <v>26</v>
          </cell>
          <cell r="H482" t="str">
            <v>PROJ</v>
          </cell>
        </row>
        <row r="483">
          <cell r="B483">
            <v>1115</v>
          </cell>
          <cell r="E483" t="str">
            <v>A04-K24</v>
          </cell>
          <cell r="G483">
            <v>26</v>
          </cell>
          <cell r="H483" t="str">
            <v>PROJ</v>
          </cell>
        </row>
        <row r="484">
          <cell r="B484">
            <v>1116</v>
          </cell>
          <cell r="E484" t="str">
            <v>A01-K24-M</v>
          </cell>
          <cell r="G484">
            <v>27</v>
          </cell>
          <cell r="H484" t="str">
            <v>PROJ</v>
          </cell>
        </row>
        <row r="485">
          <cell r="B485">
            <v>1117</v>
          </cell>
          <cell r="E485" t="str">
            <v>A05-K30</v>
          </cell>
          <cell r="G485">
            <v>27</v>
          </cell>
          <cell r="H485" t="str">
            <v>PROJ</v>
          </cell>
        </row>
        <row r="486">
          <cell r="B486">
            <v>1118</v>
          </cell>
          <cell r="E486" t="str">
            <v>A02-K24-A</v>
          </cell>
          <cell r="G486">
            <v>27</v>
          </cell>
          <cell r="H486" t="str">
            <v>PROJ</v>
          </cell>
        </row>
        <row r="487">
          <cell r="B487">
            <v>1119</v>
          </cell>
          <cell r="E487" t="str">
            <v>A03-K24-M</v>
          </cell>
          <cell r="G487">
            <v>27</v>
          </cell>
          <cell r="H487" t="str">
            <v>PROJ</v>
          </cell>
        </row>
        <row r="488">
          <cell r="B488">
            <v>1120</v>
          </cell>
          <cell r="E488" t="str">
            <v>A02-K24-AM</v>
          </cell>
          <cell r="G488">
            <v>27</v>
          </cell>
          <cell r="H488" t="str">
            <v>PROJ</v>
          </cell>
        </row>
        <row r="489">
          <cell r="B489">
            <v>1121</v>
          </cell>
          <cell r="E489" t="str">
            <v>A06-K24-AM</v>
          </cell>
          <cell r="G489">
            <v>27</v>
          </cell>
          <cell r="H489" t="str">
            <v>PROJ</v>
          </cell>
        </row>
        <row r="490">
          <cell r="B490">
            <v>1122</v>
          </cell>
          <cell r="E490" t="str">
            <v>A02-K24-M</v>
          </cell>
          <cell r="G490">
            <v>27</v>
          </cell>
          <cell r="H490" t="str">
            <v>PROJ</v>
          </cell>
        </row>
        <row r="491">
          <cell r="B491">
            <v>1123</v>
          </cell>
          <cell r="E491" t="str">
            <v>A03-K24-AM</v>
          </cell>
          <cell r="G491">
            <v>27</v>
          </cell>
          <cell r="H491" t="str">
            <v>PROJ</v>
          </cell>
        </row>
        <row r="492">
          <cell r="B492">
            <v>1124</v>
          </cell>
          <cell r="E492" t="str">
            <v>A07-K24</v>
          </cell>
          <cell r="G492">
            <v>27</v>
          </cell>
          <cell r="H492" t="str">
            <v>PROJ</v>
          </cell>
        </row>
        <row r="493">
          <cell r="B493">
            <v>1125</v>
          </cell>
          <cell r="E493" t="str">
            <v>B02L-K24</v>
          </cell>
          <cell r="G493">
            <v>27</v>
          </cell>
          <cell r="H493" t="str">
            <v>PROJ</v>
          </cell>
        </row>
        <row r="494">
          <cell r="B494">
            <v>1126</v>
          </cell>
          <cell r="E494" t="str">
            <v>B03L-K24-A</v>
          </cell>
          <cell r="G494">
            <v>27</v>
          </cell>
          <cell r="H494" t="str">
            <v>PROJ</v>
          </cell>
        </row>
        <row r="495">
          <cell r="B495">
            <v>1127</v>
          </cell>
          <cell r="E495" t="str">
            <v>B04L-K24-A</v>
          </cell>
          <cell r="G495">
            <v>27</v>
          </cell>
          <cell r="H495" t="str">
            <v>PROJ</v>
          </cell>
        </row>
        <row r="496">
          <cell r="B496">
            <v>1128</v>
          </cell>
          <cell r="E496" t="str">
            <v>A07-K24-A</v>
          </cell>
          <cell r="G496">
            <v>27</v>
          </cell>
          <cell r="H496" t="str">
            <v>PROJ</v>
          </cell>
        </row>
        <row r="497">
          <cell r="B497">
            <v>1129</v>
          </cell>
          <cell r="E497" t="str">
            <v>A07-K24-AM</v>
          </cell>
          <cell r="G497">
            <v>27</v>
          </cell>
          <cell r="H497" t="str">
            <v>PROJ</v>
          </cell>
        </row>
        <row r="498">
          <cell r="B498">
            <v>1130</v>
          </cell>
          <cell r="E498" t="str">
            <v>A09-K24-M</v>
          </cell>
          <cell r="G498">
            <v>27</v>
          </cell>
          <cell r="H498" t="str">
            <v>PROJ</v>
          </cell>
        </row>
        <row r="499">
          <cell r="B499">
            <v>1131</v>
          </cell>
          <cell r="E499" t="str">
            <v>C2-K30</v>
          </cell>
          <cell r="G499">
            <v>27</v>
          </cell>
          <cell r="H499" t="str">
            <v>PROJ</v>
          </cell>
        </row>
        <row r="500">
          <cell r="B500">
            <v>1132</v>
          </cell>
          <cell r="E500" t="str">
            <v>C3-K30-A</v>
          </cell>
          <cell r="G500">
            <v>27</v>
          </cell>
          <cell r="H500" t="str">
            <v>PROJ</v>
          </cell>
        </row>
        <row r="501">
          <cell r="B501">
            <v>1133</v>
          </cell>
          <cell r="E501" t="str">
            <v>B01L-K30</v>
          </cell>
          <cell r="G501">
            <v>27</v>
          </cell>
          <cell r="H501" t="str">
            <v>PROJ</v>
          </cell>
        </row>
        <row r="502">
          <cell r="B502">
            <v>1134</v>
          </cell>
          <cell r="E502" t="str">
            <v>A07-K24</v>
          </cell>
          <cell r="G502">
            <v>28</v>
          </cell>
          <cell r="H502" t="str">
            <v>PROJ</v>
          </cell>
        </row>
        <row r="503">
          <cell r="B503">
            <v>1135</v>
          </cell>
          <cell r="E503" t="str">
            <v>A02-K24</v>
          </cell>
          <cell r="G503">
            <v>28</v>
          </cell>
          <cell r="H503" t="str">
            <v>PROJ</v>
          </cell>
        </row>
        <row r="504">
          <cell r="B504">
            <v>1136</v>
          </cell>
          <cell r="E504" t="str">
            <v>A03-K24</v>
          </cell>
          <cell r="G504">
            <v>28</v>
          </cell>
          <cell r="H504" t="str">
            <v>PROJ</v>
          </cell>
        </row>
        <row r="505">
          <cell r="B505">
            <v>1137</v>
          </cell>
          <cell r="E505" t="str">
            <v>A07-K24-M</v>
          </cell>
          <cell r="G505">
            <v>28</v>
          </cell>
          <cell r="H505" t="str">
            <v>PROJ</v>
          </cell>
        </row>
        <row r="506">
          <cell r="B506">
            <v>1138</v>
          </cell>
          <cell r="E506" t="str">
            <v>A07-K24</v>
          </cell>
          <cell r="G506">
            <v>28</v>
          </cell>
          <cell r="H506" t="str">
            <v>PROJ</v>
          </cell>
        </row>
        <row r="507">
          <cell r="B507">
            <v>1139</v>
          </cell>
          <cell r="E507" t="str">
            <v>A10-K30</v>
          </cell>
          <cell r="G507">
            <v>28</v>
          </cell>
          <cell r="H507" t="str">
            <v>PROJ</v>
          </cell>
        </row>
        <row r="508">
          <cell r="B508">
            <v>1140</v>
          </cell>
          <cell r="E508" t="str">
            <v>A01-K24-M</v>
          </cell>
          <cell r="G508">
            <v>28</v>
          </cell>
          <cell r="H508" t="str">
            <v>PROJ</v>
          </cell>
        </row>
        <row r="509">
          <cell r="B509">
            <v>1141</v>
          </cell>
          <cell r="E509" t="str">
            <v>A04-K24</v>
          </cell>
          <cell r="G509">
            <v>28</v>
          </cell>
          <cell r="H509" t="str">
            <v>PROJ</v>
          </cell>
        </row>
        <row r="510">
          <cell r="B510">
            <v>1142</v>
          </cell>
          <cell r="E510" t="str">
            <v>A03-K24-M</v>
          </cell>
          <cell r="G510">
            <v>28</v>
          </cell>
          <cell r="H510" t="str">
            <v>PROJ</v>
          </cell>
        </row>
        <row r="511">
          <cell r="B511">
            <v>1143</v>
          </cell>
          <cell r="E511" t="str">
            <v>B06L-K24</v>
          </cell>
          <cell r="G511">
            <v>28</v>
          </cell>
          <cell r="H511" t="str">
            <v>PROJ</v>
          </cell>
        </row>
        <row r="512">
          <cell r="B512">
            <v>1144</v>
          </cell>
          <cell r="E512" t="str">
            <v>A03-K24-M</v>
          </cell>
          <cell r="G512">
            <v>28</v>
          </cell>
          <cell r="H512" t="str">
            <v>PROJ</v>
          </cell>
        </row>
        <row r="513">
          <cell r="B513">
            <v>1145</v>
          </cell>
          <cell r="E513" t="str">
            <v>A03-K24-M</v>
          </cell>
          <cell r="G513">
            <v>28</v>
          </cell>
          <cell r="H513" t="str">
            <v>PROJ</v>
          </cell>
        </row>
        <row r="514">
          <cell r="B514">
            <v>1146</v>
          </cell>
          <cell r="E514" t="str">
            <v>A03-K24-M</v>
          </cell>
          <cell r="G514">
            <v>28</v>
          </cell>
          <cell r="H514" t="str">
            <v>PROJ</v>
          </cell>
        </row>
        <row r="515">
          <cell r="B515">
            <v>1147</v>
          </cell>
          <cell r="E515" t="str">
            <v>A03-K24-M</v>
          </cell>
          <cell r="G515">
            <v>28</v>
          </cell>
          <cell r="H515" t="str">
            <v>PROJ</v>
          </cell>
        </row>
        <row r="516">
          <cell r="B516">
            <v>1148</v>
          </cell>
          <cell r="E516" t="str">
            <v>A02-K24</v>
          </cell>
          <cell r="G516">
            <v>28</v>
          </cell>
          <cell r="H516" t="str">
            <v>PROJ</v>
          </cell>
        </row>
        <row r="517">
          <cell r="B517">
            <v>1149</v>
          </cell>
          <cell r="E517" t="str">
            <v>A07-K24-A</v>
          </cell>
          <cell r="G517">
            <v>28</v>
          </cell>
          <cell r="H517" t="str">
            <v>PROJ</v>
          </cell>
        </row>
        <row r="518">
          <cell r="B518">
            <v>1150</v>
          </cell>
          <cell r="E518" t="str">
            <v>A07-K24</v>
          </cell>
          <cell r="G518" t="str">
            <v>H2</v>
          </cell>
          <cell r="H518" t="e">
            <v>#N/A</v>
          </cell>
        </row>
        <row r="519">
          <cell r="B519">
            <v>1151</v>
          </cell>
          <cell r="E519" t="str">
            <v>A03-K24-A</v>
          </cell>
          <cell r="G519" t="str">
            <v>H2</v>
          </cell>
          <cell r="H519" t="e">
            <v>#N/A</v>
          </cell>
        </row>
        <row r="520">
          <cell r="B520">
            <v>1152</v>
          </cell>
          <cell r="E520" t="str">
            <v>A02-K24-A</v>
          </cell>
          <cell r="G520">
            <v>29</v>
          </cell>
          <cell r="H520" t="str">
            <v>PROJ</v>
          </cell>
        </row>
        <row r="521">
          <cell r="B521">
            <v>1153</v>
          </cell>
          <cell r="E521" t="str">
            <v>A07-K24-M</v>
          </cell>
          <cell r="G521">
            <v>29</v>
          </cell>
          <cell r="H521" t="str">
            <v>PROJ</v>
          </cell>
        </row>
        <row r="522">
          <cell r="B522">
            <v>1154</v>
          </cell>
          <cell r="E522" t="str">
            <v>B04L-K24-M</v>
          </cell>
          <cell r="G522">
            <v>29</v>
          </cell>
          <cell r="H522" t="str">
            <v>PROJ</v>
          </cell>
        </row>
        <row r="523">
          <cell r="B523">
            <v>1155</v>
          </cell>
          <cell r="E523" t="str">
            <v>A01-K24-M</v>
          </cell>
          <cell r="G523">
            <v>29</v>
          </cell>
          <cell r="H523" t="str">
            <v>PROJ</v>
          </cell>
        </row>
        <row r="524">
          <cell r="B524">
            <v>1156</v>
          </cell>
          <cell r="E524" t="str">
            <v>B08L-K24</v>
          </cell>
          <cell r="G524">
            <v>29</v>
          </cell>
          <cell r="H524" t="str">
            <v>PROJ</v>
          </cell>
        </row>
        <row r="525">
          <cell r="B525">
            <v>1157</v>
          </cell>
          <cell r="E525" t="str">
            <v>A03-K24-M</v>
          </cell>
          <cell r="G525">
            <v>29</v>
          </cell>
          <cell r="H525" t="str">
            <v>PROJ</v>
          </cell>
        </row>
        <row r="526">
          <cell r="B526">
            <v>1158</v>
          </cell>
          <cell r="E526" t="str">
            <v>B12L-K24</v>
          </cell>
          <cell r="G526">
            <v>29</v>
          </cell>
          <cell r="H526" t="str">
            <v>PROJ</v>
          </cell>
        </row>
        <row r="527">
          <cell r="B527">
            <v>1201</v>
          </cell>
          <cell r="E527" t="str">
            <v>A01-K24-A</v>
          </cell>
          <cell r="G527">
            <v>29</v>
          </cell>
          <cell r="H527" t="str">
            <v>PROJ</v>
          </cell>
        </row>
        <row r="528">
          <cell r="B528">
            <v>1202</v>
          </cell>
          <cell r="E528" t="str">
            <v>A02-K24</v>
          </cell>
          <cell r="G528">
            <v>29</v>
          </cell>
          <cell r="H528" t="str">
            <v>PROJ</v>
          </cell>
        </row>
        <row r="529">
          <cell r="B529">
            <v>1203</v>
          </cell>
          <cell r="E529" t="str">
            <v>A03-K24</v>
          </cell>
          <cell r="G529">
            <v>29</v>
          </cell>
          <cell r="H529" t="str">
            <v>PROJ</v>
          </cell>
        </row>
        <row r="530">
          <cell r="B530">
            <v>1204</v>
          </cell>
          <cell r="E530" t="str">
            <v>A03-K24-M</v>
          </cell>
          <cell r="G530">
            <v>29</v>
          </cell>
          <cell r="H530" t="str">
            <v>PROJ</v>
          </cell>
        </row>
        <row r="531">
          <cell r="B531">
            <v>1205</v>
          </cell>
          <cell r="E531" t="str">
            <v>A03-K24-M</v>
          </cell>
          <cell r="G531">
            <v>29</v>
          </cell>
          <cell r="H531" t="str">
            <v>PROJ</v>
          </cell>
        </row>
        <row r="532">
          <cell r="B532">
            <v>1206</v>
          </cell>
          <cell r="E532" t="str">
            <v>A07-K24</v>
          </cell>
          <cell r="G532">
            <v>29</v>
          </cell>
          <cell r="H532" t="str">
            <v>PROJ</v>
          </cell>
        </row>
        <row r="533">
          <cell r="B533">
            <v>1207</v>
          </cell>
          <cell r="E533" t="str">
            <v>A03-K24</v>
          </cell>
          <cell r="G533">
            <v>29</v>
          </cell>
          <cell r="H533" t="str">
            <v>PROJ</v>
          </cell>
        </row>
        <row r="534">
          <cell r="B534">
            <v>1208</v>
          </cell>
          <cell r="E534" t="str">
            <v>C4-K24</v>
          </cell>
          <cell r="G534">
            <v>29</v>
          </cell>
          <cell r="H534" t="str">
            <v>PROJ</v>
          </cell>
        </row>
        <row r="535">
          <cell r="B535">
            <v>1209</v>
          </cell>
          <cell r="E535" t="str">
            <v>A03-K24</v>
          </cell>
          <cell r="G535">
            <v>29</v>
          </cell>
          <cell r="H535" t="str">
            <v>PROJ</v>
          </cell>
        </row>
        <row r="536">
          <cell r="B536">
            <v>1210</v>
          </cell>
          <cell r="E536" t="str">
            <v>A03-K24-M</v>
          </cell>
          <cell r="G536">
            <v>29</v>
          </cell>
          <cell r="H536" t="str">
            <v>PROJ</v>
          </cell>
        </row>
        <row r="537">
          <cell r="B537">
            <v>1211</v>
          </cell>
          <cell r="E537" t="str">
            <v>A03-K24-M</v>
          </cell>
          <cell r="G537">
            <v>29</v>
          </cell>
          <cell r="H537" t="str">
            <v>PROJ</v>
          </cell>
        </row>
        <row r="538">
          <cell r="B538">
            <v>1212</v>
          </cell>
          <cell r="E538" t="str">
            <v>A02-K24</v>
          </cell>
          <cell r="G538">
            <v>30</v>
          </cell>
          <cell r="H538" t="str">
            <v>PROJ</v>
          </cell>
        </row>
        <row r="539">
          <cell r="B539">
            <v>1213</v>
          </cell>
          <cell r="E539" t="str">
            <v>C1-K30</v>
          </cell>
          <cell r="G539">
            <v>30</v>
          </cell>
          <cell r="H539" t="str">
            <v>PROJ</v>
          </cell>
        </row>
        <row r="540">
          <cell r="B540">
            <v>1214</v>
          </cell>
          <cell r="E540" t="str">
            <v>A07-K24-M</v>
          </cell>
          <cell r="G540">
            <v>30</v>
          </cell>
          <cell r="H540" t="str">
            <v>PROJ</v>
          </cell>
        </row>
        <row r="541">
          <cell r="B541">
            <v>1215</v>
          </cell>
          <cell r="E541" t="str">
            <v>A04-K24</v>
          </cell>
          <cell r="G541">
            <v>30</v>
          </cell>
          <cell r="H541" t="str">
            <v>PROJ</v>
          </cell>
        </row>
        <row r="542">
          <cell r="B542">
            <v>1216</v>
          </cell>
          <cell r="E542" t="str">
            <v>A01-K24-M</v>
          </cell>
          <cell r="G542">
            <v>30</v>
          </cell>
          <cell r="H542" t="str">
            <v>PROJ</v>
          </cell>
        </row>
        <row r="543">
          <cell r="B543">
            <v>1217</v>
          </cell>
          <cell r="E543" t="str">
            <v>A05-K30</v>
          </cell>
          <cell r="G543">
            <v>30</v>
          </cell>
          <cell r="H543" t="str">
            <v>PROJ</v>
          </cell>
        </row>
        <row r="544">
          <cell r="B544">
            <v>1218</v>
          </cell>
          <cell r="E544" t="str">
            <v>A02-K24-A</v>
          </cell>
          <cell r="G544">
            <v>30</v>
          </cell>
          <cell r="H544" t="str">
            <v>PROJ</v>
          </cell>
        </row>
        <row r="545">
          <cell r="B545">
            <v>1219</v>
          </cell>
          <cell r="E545" t="str">
            <v>A03-K24-M</v>
          </cell>
          <cell r="G545">
            <v>30</v>
          </cell>
          <cell r="H545" t="str">
            <v>PROJ</v>
          </cell>
        </row>
        <row r="546">
          <cell r="B546">
            <v>1220</v>
          </cell>
          <cell r="E546" t="str">
            <v>A02-K24-AM</v>
          </cell>
          <cell r="G546">
            <v>30</v>
          </cell>
          <cell r="H546" t="str">
            <v>PROJ</v>
          </cell>
        </row>
        <row r="547">
          <cell r="B547">
            <v>1221</v>
          </cell>
          <cell r="E547" t="str">
            <v>A06-K24-AM</v>
          </cell>
          <cell r="G547">
            <v>30</v>
          </cell>
          <cell r="H547" t="str">
            <v>PROJ</v>
          </cell>
        </row>
        <row r="548">
          <cell r="B548">
            <v>1222</v>
          </cell>
          <cell r="E548" t="str">
            <v>A02-K24-M</v>
          </cell>
          <cell r="G548">
            <v>30</v>
          </cell>
          <cell r="H548" t="str">
            <v>PROJ</v>
          </cell>
        </row>
        <row r="549">
          <cell r="B549">
            <v>1223</v>
          </cell>
          <cell r="E549" t="str">
            <v>A03-K24-AM</v>
          </cell>
          <cell r="G549">
            <v>30</v>
          </cell>
          <cell r="H549" t="str">
            <v>PROJ</v>
          </cell>
        </row>
        <row r="550">
          <cell r="B550">
            <v>1224</v>
          </cell>
          <cell r="E550" t="str">
            <v>A07-K24</v>
          </cell>
          <cell r="G550">
            <v>30</v>
          </cell>
          <cell r="H550" t="str">
            <v>PROJ</v>
          </cell>
        </row>
        <row r="551">
          <cell r="B551">
            <v>1225</v>
          </cell>
          <cell r="E551" t="str">
            <v>B02L-K24</v>
          </cell>
          <cell r="G551">
            <v>30</v>
          </cell>
          <cell r="H551" t="str">
            <v>PROJ</v>
          </cell>
        </row>
        <row r="552">
          <cell r="B552">
            <v>1226</v>
          </cell>
          <cell r="E552" t="str">
            <v>B03L-K24-A</v>
          </cell>
          <cell r="G552">
            <v>30</v>
          </cell>
          <cell r="H552" t="str">
            <v>PROJ</v>
          </cell>
        </row>
        <row r="553">
          <cell r="B553">
            <v>1227</v>
          </cell>
          <cell r="E553" t="str">
            <v>B04L-K24-A</v>
          </cell>
          <cell r="G553">
            <v>30</v>
          </cell>
          <cell r="H553" t="str">
            <v>PROJ</v>
          </cell>
        </row>
        <row r="554">
          <cell r="B554">
            <v>1228</v>
          </cell>
          <cell r="E554" t="str">
            <v>A07-K24-A</v>
          </cell>
          <cell r="G554">
            <v>30</v>
          </cell>
          <cell r="H554" t="str">
            <v>PROJ</v>
          </cell>
        </row>
        <row r="555">
          <cell r="B555">
            <v>1229</v>
          </cell>
          <cell r="E555" t="str">
            <v>A07-K24-AM</v>
          </cell>
          <cell r="G555">
            <v>30</v>
          </cell>
          <cell r="H555" t="str">
            <v>PROJ</v>
          </cell>
        </row>
        <row r="556">
          <cell r="B556">
            <v>1230</v>
          </cell>
          <cell r="E556" t="str">
            <v>A09-K24-M</v>
          </cell>
          <cell r="G556">
            <v>31</v>
          </cell>
          <cell r="H556" t="str">
            <v>PROJ</v>
          </cell>
        </row>
        <row r="557">
          <cell r="B557">
            <v>1231</v>
          </cell>
          <cell r="E557" t="str">
            <v>C2-K30</v>
          </cell>
          <cell r="G557">
            <v>31</v>
          </cell>
          <cell r="H557" t="str">
            <v>PROJ</v>
          </cell>
        </row>
        <row r="558">
          <cell r="B558">
            <v>1232</v>
          </cell>
          <cell r="E558" t="str">
            <v>C3-K30-A</v>
          </cell>
          <cell r="G558">
            <v>31</v>
          </cell>
          <cell r="H558" t="str">
            <v>PROJ</v>
          </cell>
        </row>
        <row r="559">
          <cell r="B559">
            <v>1233</v>
          </cell>
          <cell r="E559" t="str">
            <v>B01L-K30</v>
          </cell>
          <cell r="G559">
            <v>31</v>
          </cell>
          <cell r="H559" t="str">
            <v>PROJ</v>
          </cell>
        </row>
        <row r="560">
          <cell r="B560">
            <v>1234</v>
          </cell>
          <cell r="E560" t="str">
            <v>A07-K24</v>
          </cell>
          <cell r="G560">
            <v>31</v>
          </cell>
          <cell r="H560" t="str">
            <v>PROJ</v>
          </cell>
        </row>
        <row r="561">
          <cell r="B561">
            <v>1235</v>
          </cell>
          <cell r="E561" t="str">
            <v>A02-K24</v>
          </cell>
          <cell r="G561">
            <v>31</v>
          </cell>
          <cell r="H561" t="str">
            <v>PROJ</v>
          </cell>
        </row>
        <row r="562">
          <cell r="B562">
            <v>1236</v>
          </cell>
          <cell r="E562" t="str">
            <v>A03-K24</v>
          </cell>
          <cell r="G562">
            <v>31</v>
          </cell>
          <cell r="H562" t="str">
            <v>PROJ</v>
          </cell>
        </row>
        <row r="563">
          <cell r="B563">
            <v>1237</v>
          </cell>
          <cell r="E563" t="str">
            <v>A07-K24-M</v>
          </cell>
          <cell r="G563">
            <v>31</v>
          </cell>
          <cell r="H563" t="str">
            <v>PROJ</v>
          </cell>
        </row>
        <row r="564">
          <cell r="B564">
            <v>1238</v>
          </cell>
          <cell r="E564" t="str">
            <v>A07-K24</v>
          </cell>
          <cell r="G564">
            <v>31</v>
          </cell>
          <cell r="H564" t="str">
            <v>PROJ</v>
          </cell>
        </row>
        <row r="565">
          <cell r="B565">
            <v>1239</v>
          </cell>
          <cell r="E565" t="str">
            <v>A10-K30</v>
          </cell>
          <cell r="G565">
            <v>31</v>
          </cell>
          <cell r="H565" t="str">
            <v>PROJ</v>
          </cell>
        </row>
        <row r="566">
          <cell r="B566">
            <v>1240</v>
          </cell>
          <cell r="E566" t="str">
            <v>A01-K24-M</v>
          </cell>
          <cell r="G566">
            <v>31</v>
          </cell>
          <cell r="H566" t="str">
            <v>PROJ</v>
          </cell>
        </row>
        <row r="567">
          <cell r="B567">
            <v>1241</v>
          </cell>
          <cell r="E567" t="str">
            <v>A04-K24</v>
          </cell>
          <cell r="G567">
            <v>31</v>
          </cell>
          <cell r="H567" t="str">
            <v>PROJ</v>
          </cell>
        </row>
        <row r="568">
          <cell r="B568">
            <v>1242</v>
          </cell>
          <cell r="E568" t="str">
            <v>A03-K24-M</v>
          </cell>
          <cell r="G568">
            <v>31</v>
          </cell>
          <cell r="H568" t="str">
            <v>PROJ</v>
          </cell>
        </row>
        <row r="569">
          <cell r="B569">
            <v>1243</v>
          </cell>
          <cell r="E569" t="str">
            <v>B06L-K24</v>
          </cell>
          <cell r="G569">
            <v>31</v>
          </cell>
          <cell r="H569" t="str">
            <v>PROJ</v>
          </cell>
        </row>
        <row r="570">
          <cell r="B570">
            <v>1244</v>
          </cell>
          <cell r="E570" t="str">
            <v>A03-K24-M</v>
          </cell>
          <cell r="G570">
            <v>31</v>
          </cell>
          <cell r="H570" t="str">
            <v>PROJ</v>
          </cell>
        </row>
        <row r="571">
          <cell r="B571">
            <v>1245</v>
          </cell>
          <cell r="E571" t="str">
            <v>A03-K24-M</v>
          </cell>
          <cell r="G571">
            <v>31</v>
          </cell>
          <cell r="H571" t="str">
            <v>PROJ</v>
          </cell>
        </row>
        <row r="572">
          <cell r="B572">
            <v>1246</v>
          </cell>
          <cell r="E572" t="str">
            <v>A03-K24-M</v>
          </cell>
          <cell r="G572">
            <v>31</v>
          </cell>
          <cell r="H572" t="str">
            <v>PROJ</v>
          </cell>
        </row>
        <row r="573">
          <cell r="B573">
            <v>1247</v>
          </cell>
          <cell r="E573" t="str">
            <v>A03-K24-M</v>
          </cell>
          <cell r="G573">
            <v>31</v>
          </cell>
          <cell r="H573" t="str">
            <v>PROJ</v>
          </cell>
        </row>
        <row r="574">
          <cell r="B574">
            <v>1248</v>
          </cell>
          <cell r="E574" t="str">
            <v>A02-K24</v>
          </cell>
          <cell r="G574">
            <v>32</v>
          </cell>
          <cell r="H574" t="e">
            <v>#N/A</v>
          </cell>
        </row>
        <row r="575">
          <cell r="B575">
            <v>1249</v>
          </cell>
          <cell r="E575" t="str">
            <v>A07-K24-A</v>
          </cell>
          <cell r="G575">
            <v>32</v>
          </cell>
          <cell r="H575" t="e">
            <v>#N/A</v>
          </cell>
        </row>
        <row r="576">
          <cell r="B576">
            <v>1250</v>
          </cell>
          <cell r="E576" t="str">
            <v>A07-K24</v>
          </cell>
          <cell r="G576" t="str">
            <v>H2</v>
          </cell>
          <cell r="H576" t="e">
            <v>#N/A</v>
          </cell>
        </row>
        <row r="577">
          <cell r="B577">
            <v>1251</v>
          </cell>
          <cell r="E577" t="str">
            <v>A03-K24-A</v>
          </cell>
          <cell r="G577" t="str">
            <v>H2</v>
          </cell>
          <cell r="H577" t="e">
            <v>#N/A</v>
          </cell>
        </row>
        <row r="578">
          <cell r="B578">
            <v>1252</v>
          </cell>
          <cell r="E578" t="str">
            <v>A02-K24-A</v>
          </cell>
          <cell r="G578">
            <v>32</v>
          </cell>
          <cell r="H578" t="e">
            <v>#N/A</v>
          </cell>
        </row>
        <row r="579">
          <cell r="B579">
            <v>1253</v>
          </cell>
          <cell r="E579" t="str">
            <v>A07-K24-M</v>
          </cell>
          <cell r="G579">
            <v>32</v>
          </cell>
          <cell r="H579" t="e">
            <v>#N/A</v>
          </cell>
        </row>
        <row r="580">
          <cell r="B580">
            <v>1254</v>
          </cell>
          <cell r="E580" t="str">
            <v>B04L-K24-M</v>
          </cell>
          <cell r="G580">
            <v>32</v>
          </cell>
          <cell r="H580" t="e">
            <v>#N/A</v>
          </cell>
        </row>
        <row r="581">
          <cell r="B581">
            <v>1255</v>
          </cell>
          <cell r="E581" t="str">
            <v>A01-K24-M</v>
          </cell>
          <cell r="G581">
            <v>32</v>
          </cell>
          <cell r="H581" t="e">
            <v>#N/A</v>
          </cell>
        </row>
        <row r="582">
          <cell r="B582">
            <v>1256</v>
          </cell>
          <cell r="E582" t="str">
            <v>B08L-K24</v>
          </cell>
          <cell r="G582">
            <v>32</v>
          </cell>
          <cell r="H582" t="e">
            <v>#N/A</v>
          </cell>
        </row>
        <row r="583">
          <cell r="B583">
            <v>1257</v>
          </cell>
          <cell r="E583" t="str">
            <v>A03-K24-M</v>
          </cell>
          <cell r="G583">
            <v>32</v>
          </cell>
          <cell r="H583" t="e">
            <v>#N/A</v>
          </cell>
        </row>
        <row r="584">
          <cell r="B584">
            <v>1258</v>
          </cell>
          <cell r="E584" t="str">
            <v>B12L-K24</v>
          </cell>
          <cell r="G584">
            <v>32</v>
          </cell>
          <cell r="H584" t="e">
            <v>#N/A</v>
          </cell>
        </row>
        <row r="585">
          <cell r="B585">
            <v>20</v>
          </cell>
          <cell r="E585"/>
          <cell r="G585"/>
          <cell r="H585"/>
        </row>
      </sheetData>
      <sheetData sheetId="1">
        <row r="8">
          <cell r="C8">
            <v>9</v>
          </cell>
          <cell r="D8" t="str">
            <v>PROJ</v>
          </cell>
          <cell r="E8">
            <v>1</v>
          </cell>
          <cell r="F8">
            <v>32</v>
          </cell>
          <cell r="G8" t="str">
            <v>Wk 32</v>
          </cell>
          <cell r="H8" t="str">
            <v>3</v>
          </cell>
          <cell r="I8" t="str">
            <v>301:313,315:321</v>
          </cell>
          <cell r="J8">
            <v>20</v>
          </cell>
          <cell r="K8" t="b">
            <v>0</v>
          </cell>
          <cell r="L8" t="str">
            <v>--</v>
          </cell>
          <cell r="M8" t="str">
            <v>--</v>
          </cell>
          <cell r="N8" t="str">
            <v>(08/03/26-08/09/26)</v>
          </cell>
          <cell r="O8" t="b">
            <v>0</v>
          </cell>
          <cell r="P8">
            <v>46240</v>
          </cell>
          <cell r="Q8">
            <v>5</v>
          </cell>
          <cell r="R8" t="b">
            <v>0</v>
          </cell>
          <cell r="S8">
            <v>46245</v>
          </cell>
          <cell r="T8" t="str">
            <v>--</v>
          </cell>
          <cell r="U8">
            <v>20</v>
          </cell>
          <cell r="V8" t="b">
            <v>0</v>
          </cell>
          <cell r="W8">
            <v>46265</v>
          </cell>
          <cell r="X8">
            <v>5</v>
          </cell>
          <cell r="Y8" t="b">
            <v>0</v>
          </cell>
          <cell r="Z8" t="b">
            <v>0</v>
          </cell>
          <cell r="AA8">
            <v>46270</v>
          </cell>
          <cell r="AB8" t="str">
            <v>Sat</v>
          </cell>
          <cell r="AC8" t="str">
            <v>--</v>
          </cell>
          <cell r="AD8" t="str">
            <v>--</v>
          </cell>
          <cell r="AE8" t="b">
            <v>0</v>
          </cell>
          <cell r="AF8" t="b">
            <v>0</v>
          </cell>
          <cell r="AG8" t="b">
            <v>0</v>
          </cell>
          <cell r="AH8">
            <v>46272</v>
          </cell>
          <cell r="AI8" t="str">
            <v>-2 days</v>
          </cell>
          <cell r="AJ8">
            <v>-2</v>
          </cell>
          <cell r="AK8">
            <v>30</v>
          </cell>
          <cell r="AL8" t="str">
            <v>--</v>
          </cell>
        </row>
        <row r="9">
          <cell r="C9">
            <v>9</v>
          </cell>
          <cell r="D9" t="str">
            <v>PROJ</v>
          </cell>
          <cell r="E9">
            <v>2</v>
          </cell>
          <cell r="F9">
            <v>32</v>
          </cell>
          <cell r="G9" t="str">
            <v>Wk 32</v>
          </cell>
          <cell r="H9" t="str">
            <v>3</v>
          </cell>
          <cell r="I9" t="str">
            <v>322:333,335:342</v>
          </cell>
          <cell r="J9">
            <v>20</v>
          </cell>
          <cell r="K9" t="b">
            <v>0</v>
          </cell>
          <cell r="L9" t="str">
            <v>--</v>
          </cell>
          <cell r="M9" t="str">
            <v>--</v>
          </cell>
          <cell r="N9" t="str">
            <v>(08/03/26-08/09/26)</v>
          </cell>
          <cell r="O9" t="b">
            <v>0</v>
          </cell>
          <cell r="P9">
            <v>46240</v>
          </cell>
          <cell r="Q9">
            <v>5</v>
          </cell>
          <cell r="R9" t="b">
            <v>0</v>
          </cell>
          <cell r="S9">
            <v>46245</v>
          </cell>
          <cell r="T9" t="str">
            <v>--</v>
          </cell>
          <cell r="U9">
            <v>20</v>
          </cell>
          <cell r="V9" t="b">
            <v>0</v>
          </cell>
          <cell r="W9">
            <v>46265</v>
          </cell>
          <cell r="X9">
            <v>5</v>
          </cell>
          <cell r="Y9" t="b">
            <v>0</v>
          </cell>
          <cell r="Z9" t="b">
            <v>0</v>
          </cell>
          <cell r="AA9">
            <v>46270</v>
          </cell>
          <cell r="AB9" t="str">
            <v>Sat</v>
          </cell>
          <cell r="AC9" t="str">
            <v>--</v>
          </cell>
          <cell r="AD9" t="str">
            <v>--</v>
          </cell>
          <cell r="AE9" t="b">
            <v>0</v>
          </cell>
          <cell r="AF9" t="b">
            <v>0</v>
          </cell>
          <cell r="AG9" t="b">
            <v>0</v>
          </cell>
          <cell r="AH9">
            <v>46272</v>
          </cell>
          <cell r="AI9" t="str">
            <v>-2 days</v>
          </cell>
          <cell r="AJ9">
            <v>-2</v>
          </cell>
          <cell r="AK9">
            <v>30</v>
          </cell>
          <cell r="AL9" t="str">
            <v>--</v>
          </cell>
        </row>
        <row r="10">
          <cell r="C10">
            <v>9</v>
          </cell>
          <cell r="D10" t="str">
            <v>PROJ</v>
          </cell>
          <cell r="E10">
            <v>3</v>
          </cell>
          <cell r="F10">
            <v>32</v>
          </cell>
          <cell r="G10" t="str">
            <v>Wk 32</v>
          </cell>
          <cell r="H10" t="str">
            <v>3,4</v>
          </cell>
          <cell r="I10" t="str">
            <v>343:349,352:354,356:358,401:407</v>
          </cell>
          <cell r="J10">
            <v>20</v>
          </cell>
          <cell r="K10" t="b">
            <v>0</v>
          </cell>
          <cell r="L10" t="str">
            <v>--</v>
          </cell>
          <cell r="M10" t="str">
            <v>--</v>
          </cell>
          <cell r="N10" t="str">
            <v>(08/03/26-08/09/26)</v>
          </cell>
          <cell r="O10" t="b">
            <v>0</v>
          </cell>
          <cell r="P10">
            <v>46240</v>
          </cell>
          <cell r="Q10">
            <v>5</v>
          </cell>
          <cell r="R10" t="b">
            <v>0</v>
          </cell>
          <cell r="S10">
            <v>46245</v>
          </cell>
          <cell r="T10" t="str">
            <v>--</v>
          </cell>
          <cell r="U10">
            <v>20</v>
          </cell>
          <cell r="V10" t="b">
            <v>0</v>
          </cell>
          <cell r="W10">
            <v>46265</v>
          </cell>
          <cell r="X10">
            <v>5</v>
          </cell>
          <cell r="Y10" t="b">
            <v>0</v>
          </cell>
          <cell r="Z10" t="b">
            <v>0</v>
          </cell>
          <cell r="AA10">
            <v>46270</v>
          </cell>
          <cell r="AB10" t="str">
            <v>Sat</v>
          </cell>
          <cell r="AC10" t="str">
            <v>--</v>
          </cell>
          <cell r="AD10" t="str">
            <v>--</v>
          </cell>
          <cell r="AE10" t="b">
            <v>0</v>
          </cell>
          <cell r="AF10" t="b">
            <v>0</v>
          </cell>
          <cell r="AG10" t="b">
            <v>0</v>
          </cell>
          <cell r="AH10">
            <v>46272</v>
          </cell>
          <cell r="AI10" t="str">
            <v>-2 days</v>
          </cell>
          <cell r="AJ10">
            <v>-2</v>
          </cell>
          <cell r="AK10">
            <v>30</v>
          </cell>
          <cell r="AL10" t="str">
            <v>--</v>
          </cell>
        </row>
        <row r="11">
          <cell r="C11">
            <v>9</v>
          </cell>
          <cell r="D11" t="str">
            <v>PROJ</v>
          </cell>
          <cell r="E11">
            <v>4</v>
          </cell>
          <cell r="F11">
            <v>37</v>
          </cell>
          <cell r="G11" t="str">
            <v>Wk 37</v>
          </cell>
          <cell r="H11" t="str">
            <v>4</v>
          </cell>
          <cell r="I11" t="str">
            <v>408:425</v>
          </cell>
          <cell r="J11">
            <v>18</v>
          </cell>
          <cell r="K11" t="b">
            <v>0</v>
          </cell>
          <cell r="L11" t="str">
            <v>--</v>
          </cell>
          <cell r="M11" t="str">
            <v>--</v>
          </cell>
          <cell r="N11" t="str">
            <v>(09/07/26-09/13/26)</v>
          </cell>
          <cell r="O11" t="b">
            <v>0</v>
          </cell>
          <cell r="P11">
            <v>46275</v>
          </cell>
          <cell r="Q11">
            <v>5</v>
          </cell>
          <cell r="R11" t="b">
            <v>0</v>
          </cell>
          <cell r="S11">
            <v>46280</v>
          </cell>
          <cell r="T11" t="str">
            <v>--</v>
          </cell>
          <cell r="U11">
            <v>20</v>
          </cell>
          <cell r="V11" t="b">
            <v>0</v>
          </cell>
          <cell r="W11">
            <v>46300</v>
          </cell>
          <cell r="X11">
            <v>5</v>
          </cell>
          <cell r="Y11" t="b">
            <v>0</v>
          </cell>
          <cell r="Z11" t="b">
            <v>0</v>
          </cell>
          <cell r="AA11">
            <v>46305</v>
          </cell>
          <cell r="AB11" t="str">
            <v>Sat</v>
          </cell>
          <cell r="AC11" t="str">
            <v>--</v>
          </cell>
          <cell r="AD11" t="str">
            <v>--</v>
          </cell>
          <cell r="AE11" t="b">
            <v>0</v>
          </cell>
          <cell r="AF11" t="b">
            <v>0</v>
          </cell>
          <cell r="AG11" t="b">
            <v>0</v>
          </cell>
          <cell r="AH11">
            <v>46300</v>
          </cell>
          <cell r="AI11" t="str">
            <v>+5 days</v>
          </cell>
          <cell r="AJ11">
            <v>5</v>
          </cell>
          <cell r="AK11">
            <v>30</v>
          </cell>
          <cell r="AL11" t="str">
            <v>--</v>
          </cell>
        </row>
        <row r="12">
          <cell r="C12">
            <v>9</v>
          </cell>
          <cell r="D12" t="str">
            <v>PROJ</v>
          </cell>
          <cell r="E12">
            <v>5</v>
          </cell>
          <cell r="F12">
            <v>37</v>
          </cell>
          <cell r="G12" t="str">
            <v>Wk 37</v>
          </cell>
          <cell r="H12" t="str">
            <v>4</v>
          </cell>
          <cell r="I12" t="str">
            <v>426:443</v>
          </cell>
          <cell r="J12">
            <v>18</v>
          </cell>
          <cell r="K12" t="b">
            <v>0</v>
          </cell>
          <cell r="L12" t="str">
            <v>--</v>
          </cell>
          <cell r="M12" t="str">
            <v>--</v>
          </cell>
          <cell r="N12" t="str">
            <v>(09/07/26-09/13/26)</v>
          </cell>
          <cell r="O12" t="b">
            <v>0</v>
          </cell>
          <cell r="P12">
            <v>46275</v>
          </cell>
          <cell r="Q12">
            <v>5</v>
          </cell>
          <cell r="R12" t="b">
            <v>0</v>
          </cell>
          <cell r="S12">
            <v>46280</v>
          </cell>
          <cell r="T12" t="str">
            <v>--</v>
          </cell>
          <cell r="U12">
            <v>20</v>
          </cell>
          <cell r="V12" t="b">
            <v>0</v>
          </cell>
          <cell r="W12">
            <v>46300</v>
          </cell>
          <cell r="X12">
            <v>5</v>
          </cell>
          <cell r="Y12" t="b">
            <v>0</v>
          </cell>
          <cell r="Z12" t="b">
            <v>0</v>
          </cell>
          <cell r="AA12">
            <v>46305</v>
          </cell>
          <cell r="AB12" t="str">
            <v>Sat</v>
          </cell>
          <cell r="AC12" t="str">
            <v>--</v>
          </cell>
          <cell r="AD12" t="str">
            <v>--</v>
          </cell>
          <cell r="AE12" t="b">
            <v>0</v>
          </cell>
          <cell r="AF12" t="b">
            <v>0</v>
          </cell>
          <cell r="AG12" t="b">
            <v>0</v>
          </cell>
          <cell r="AH12">
            <v>46300</v>
          </cell>
          <cell r="AI12" t="str">
            <v>+5 days</v>
          </cell>
          <cell r="AJ12">
            <v>5</v>
          </cell>
          <cell r="AK12">
            <v>30</v>
          </cell>
          <cell r="AL12" t="str">
            <v>--</v>
          </cell>
        </row>
        <row r="13">
          <cell r="C13">
            <v>9</v>
          </cell>
          <cell r="D13" t="str">
            <v>PROJ</v>
          </cell>
          <cell r="E13">
            <v>6</v>
          </cell>
          <cell r="F13">
            <v>38</v>
          </cell>
          <cell r="G13" t="str">
            <v>Wk 38</v>
          </cell>
          <cell r="H13" t="str">
            <v>4,5</v>
          </cell>
          <cell r="I13" t="str">
            <v>444:449,452:458,501:503</v>
          </cell>
          <cell r="J13">
            <v>16</v>
          </cell>
          <cell r="K13" t="b">
            <v>0</v>
          </cell>
          <cell r="L13" t="str">
            <v>--</v>
          </cell>
          <cell r="M13" t="str">
            <v>--</v>
          </cell>
          <cell r="N13" t="str">
            <v>(09/14/26-09/20/26)</v>
          </cell>
          <cell r="O13" t="b">
            <v>0</v>
          </cell>
          <cell r="P13">
            <v>46282</v>
          </cell>
          <cell r="Q13">
            <v>5</v>
          </cell>
          <cell r="R13" t="b">
            <v>0</v>
          </cell>
          <cell r="S13">
            <v>46287</v>
          </cell>
          <cell r="T13" t="str">
            <v>--</v>
          </cell>
          <cell r="U13">
            <v>20</v>
          </cell>
          <cell r="V13" t="b">
            <v>0</v>
          </cell>
          <cell r="W13">
            <v>46307</v>
          </cell>
          <cell r="X13">
            <v>5</v>
          </cell>
          <cell r="Y13" t="b">
            <v>0</v>
          </cell>
          <cell r="Z13" t="b">
            <v>0</v>
          </cell>
          <cell r="AA13">
            <v>46312</v>
          </cell>
          <cell r="AB13" t="str">
            <v>Sat</v>
          </cell>
          <cell r="AC13" t="str">
            <v>--</v>
          </cell>
          <cell r="AD13" t="str">
            <v>--</v>
          </cell>
          <cell r="AE13" t="b">
            <v>0</v>
          </cell>
          <cell r="AF13" t="b">
            <v>0</v>
          </cell>
          <cell r="AG13" t="b">
            <v>0</v>
          </cell>
          <cell r="AH13">
            <v>46300</v>
          </cell>
          <cell r="AI13" t="str">
            <v>+12 days</v>
          </cell>
          <cell r="AJ13">
            <v>12</v>
          </cell>
          <cell r="AK13">
            <v>30</v>
          </cell>
          <cell r="AL13" t="str">
            <v>--</v>
          </cell>
        </row>
        <row r="14">
          <cell r="C14">
            <v>9</v>
          </cell>
          <cell r="D14" t="str">
            <v>PROJ</v>
          </cell>
          <cell r="E14">
            <v>7</v>
          </cell>
          <cell r="F14">
            <v>38</v>
          </cell>
          <cell r="G14" t="str">
            <v>Wk 38</v>
          </cell>
          <cell r="H14" t="str">
            <v>5</v>
          </cell>
          <cell r="I14" t="str">
            <v>504:521</v>
          </cell>
          <cell r="J14">
            <v>18</v>
          </cell>
          <cell r="K14" t="b">
            <v>0</v>
          </cell>
          <cell r="L14" t="str">
            <v>--</v>
          </cell>
          <cell r="M14" t="str">
            <v>--</v>
          </cell>
          <cell r="N14" t="str">
            <v>(09/14/26-09/20/26)</v>
          </cell>
          <cell r="O14" t="b">
            <v>0</v>
          </cell>
          <cell r="P14">
            <v>46282</v>
          </cell>
          <cell r="Q14">
            <v>5</v>
          </cell>
          <cell r="R14" t="b">
            <v>0</v>
          </cell>
          <cell r="S14">
            <v>46287</v>
          </cell>
          <cell r="T14" t="str">
            <v>--</v>
          </cell>
          <cell r="U14">
            <v>20</v>
          </cell>
          <cell r="V14" t="b">
            <v>0</v>
          </cell>
          <cell r="W14">
            <v>46307</v>
          </cell>
          <cell r="X14">
            <v>5</v>
          </cell>
          <cell r="Y14" t="b">
            <v>0</v>
          </cell>
          <cell r="Z14" t="b">
            <v>0</v>
          </cell>
          <cell r="AA14">
            <v>46312</v>
          </cell>
          <cell r="AB14" t="str">
            <v>Sat</v>
          </cell>
          <cell r="AC14" t="str">
            <v>--</v>
          </cell>
          <cell r="AD14" t="str">
            <v>--</v>
          </cell>
          <cell r="AE14" t="b">
            <v>0</v>
          </cell>
          <cell r="AF14" t="b">
            <v>0</v>
          </cell>
          <cell r="AG14" t="b">
            <v>0</v>
          </cell>
          <cell r="AH14">
            <v>46314</v>
          </cell>
          <cell r="AI14" t="str">
            <v>-2 days</v>
          </cell>
          <cell r="AJ14">
            <v>-2</v>
          </cell>
          <cell r="AK14">
            <v>30</v>
          </cell>
          <cell r="AL14" t="str">
            <v>--</v>
          </cell>
        </row>
        <row r="15">
          <cell r="C15">
            <v>9</v>
          </cell>
          <cell r="D15" t="str">
            <v>PROJ</v>
          </cell>
          <cell r="E15">
            <v>8</v>
          </cell>
          <cell r="F15">
            <v>39</v>
          </cell>
          <cell r="G15" t="str">
            <v>Wk 39</v>
          </cell>
          <cell r="H15" t="str">
            <v>5</v>
          </cell>
          <cell r="I15" t="str">
            <v>522:539</v>
          </cell>
          <cell r="J15">
            <v>18</v>
          </cell>
          <cell r="K15" t="b">
            <v>0</v>
          </cell>
          <cell r="L15" t="str">
            <v>--</v>
          </cell>
          <cell r="M15" t="str">
            <v>--</v>
          </cell>
          <cell r="N15" t="str">
            <v>(09/21/26-09/27/26)</v>
          </cell>
          <cell r="O15" t="b">
            <v>0</v>
          </cell>
          <cell r="P15">
            <v>46289</v>
          </cell>
          <cell r="Q15">
            <v>5</v>
          </cell>
          <cell r="R15" t="b">
            <v>0</v>
          </cell>
          <cell r="S15">
            <v>46294</v>
          </cell>
          <cell r="T15" t="str">
            <v>--</v>
          </cell>
          <cell r="U15">
            <v>20</v>
          </cell>
          <cell r="V15" t="b">
            <v>0</v>
          </cell>
          <cell r="W15">
            <v>46314</v>
          </cell>
          <cell r="X15">
            <v>5</v>
          </cell>
          <cell r="Y15" t="b">
            <v>0</v>
          </cell>
          <cell r="Z15" t="b">
            <v>0</v>
          </cell>
          <cell r="AA15">
            <v>46319</v>
          </cell>
          <cell r="AB15" t="str">
            <v>Sat</v>
          </cell>
          <cell r="AC15" t="str">
            <v>--</v>
          </cell>
          <cell r="AD15" t="str">
            <v>--</v>
          </cell>
          <cell r="AE15" t="b">
            <v>0</v>
          </cell>
          <cell r="AF15" t="b">
            <v>0</v>
          </cell>
          <cell r="AG15" t="b">
            <v>0</v>
          </cell>
          <cell r="AH15">
            <v>46314</v>
          </cell>
          <cell r="AI15" t="str">
            <v>+5 days</v>
          </cell>
          <cell r="AJ15">
            <v>5</v>
          </cell>
          <cell r="AK15">
            <v>30</v>
          </cell>
          <cell r="AL15" t="str">
            <v>--</v>
          </cell>
        </row>
        <row r="16">
          <cell r="C16">
            <v>9</v>
          </cell>
          <cell r="D16" t="str">
            <v>PROJ</v>
          </cell>
          <cell r="E16">
            <v>9</v>
          </cell>
          <cell r="F16">
            <v>39</v>
          </cell>
          <cell r="G16" t="str">
            <v>Wk 39</v>
          </cell>
          <cell r="H16" t="str">
            <v>5</v>
          </cell>
          <cell r="I16" t="str">
            <v>540:549,552:557</v>
          </cell>
          <cell r="J16">
            <v>16</v>
          </cell>
          <cell r="K16" t="b">
            <v>0</v>
          </cell>
          <cell r="L16" t="str">
            <v>--</v>
          </cell>
          <cell r="M16" t="str">
            <v>--</v>
          </cell>
          <cell r="N16" t="str">
            <v>(09/21/26-09/27/26)</v>
          </cell>
          <cell r="O16" t="b">
            <v>0</v>
          </cell>
          <cell r="P16">
            <v>46289</v>
          </cell>
          <cell r="Q16">
            <v>5</v>
          </cell>
          <cell r="R16" t="b">
            <v>0</v>
          </cell>
          <cell r="S16">
            <v>46294</v>
          </cell>
          <cell r="T16" t="str">
            <v>--</v>
          </cell>
          <cell r="U16">
            <v>20</v>
          </cell>
          <cell r="V16" t="b">
            <v>0</v>
          </cell>
          <cell r="W16">
            <v>46314</v>
          </cell>
          <cell r="X16">
            <v>5</v>
          </cell>
          <cell r="Y16" t="b">
            <v>0</v>
          </cell>
          <cell r="Z16" t="b">
            <v>0</v>
          </cell>
          <cell r="AA16">
            <v>46319</v>
          </cell>
          <cell r="AB16" t="str">
            <v>Sat</v>
          </cell>
          <cell r="AC16" t="str">
            <v>--</v>
          </cell>
          <cell r="AD16" t="str">
            <v>--</v>
          </cell>
          <cell r="AE16" t="b">
            <v>0</v>
          </cell>
          <cell r="AF16" t="b">
            <v>0</v>
          </cell>
          <cell r="AG16" t="b">
            <v>0</v>
          </cell>
          <cell r="AH16">
            <v>46314</v>
          </cell>
          <cell r="AI16" t="str">
            <v>+5 days</v>
          </cell>
          <cell r="AJ16">
            <v>5</v>
          </cell>
          <cell r="AK16">
            <v>30</v>
          </cell>
          <cell r="AL16" t="str">
            <v>--</v>
          </cell>
        </row>
        <row r="17">
          <cell r="C17">
            <v>9</v>
          </cell>
          <cell r="D17" t="str">
            <v>PROJ</v>
          </cell>
          <cell r="E17">
            <v>10</v>
          </cell>
          <cell r="F17">
            <v>40</v>
          </cell>
          <cell r="G17" t="str">
            <v>Wk 40</v>
          </cell>
          <cell r="H17" t="str">
            <v>5,6</v>
          </cell>
          <cell r="I17" t="str">
            <v>558,601:617</v>
          </cell>
          <cell r="J17">
            <v>18</v>
          </cell>
          <cell r="K17" t="b">
            <v>0</v>
          </cell>
          <cell r="L17" t="str">
            <v>--</v>
          </cell>
          <cell r="M17" t="str">
            <v>--</v>
          </cell>
          <cell r="N17" t="str">
            <v>(09/28/26-10/04/26)</v>
          </cell>
          <cell r="O17" t="b">
            <v>0</v>
          </cell>
          <cell r="P17">
            <v>46296</v>
          </cell>
          <cell r="Q17">
            <v>5</v>
          </cell>
          <cell r="R17" t="b">
            <v>0</v>
          </cell>
          <cell r="S17">
            <v>46301</v>
          </cell>
          <cell r="T17" t="str">
            <v>--</v>
          </cell>
          <cell r="U17">
            <v>20</v>
          </cell>
          <cell r="V17" t="b">
            <v>0</v>
          </cell>
          <cell r="W17">
            <v>46321</v>
          </cell>
          <cell r="X17">
            <v>5</v>
          </cell>
          <cell r="Y17" t="b">
            <v>0</v>
          </cell>
          <cell r="Z17" t="b">
            <v>0</v>
          </cell>
          <cell r="AA17">
            <v>46326</v>
          </cell>
          <cell r="AB17" t="str">
            <v>Sat</v>
          </cell>
          <cell r="AC17" t="str">
            <v>--</v>
          </cell>
          <cell r="AD17" t="str">
            <v>--</v>
          </cell>
          <cell r="AE17" t="b">
            <v>0</v>
          </cell>
          <cell r="AF17" t="b">
            <v>0</v>
          </cell>
          <cell r="AG17" t="b">
            <v>0</v>
          </cell>
          <cell r="AH17">
            <v>46314</v>
          </cell>
          <cell r="AI17" t="str">
            <v>+12 days</v>
          </cell>
          <cell r="AJ17">
            <v>12</v>
          </cell>
          <cell r="AK17">
            <v>30</v>
          </cell>
          <cell r="AL17" t="str">
            <v>--</v>
          </cell>
        </row>
        <row r="18">
          <cell r="C18">
            <v>9</v>
          </cell>
          <cell r="D18" t="str">
            <v>PROJ</v>
          </cell>
          <cell r="E18">
            <v>11</v>
          </cell>
          <cell r="F18">
            <v>40</v>
          </cell>
          <cell r="G18" t="str">
            <v>Wk 40</v>
          </cell>
          <cell r="H18" t="str">
            <v>6</v>
          </cell>
          <cell r="I18" t="str">
            <v>618:635</v>
          </cell>
          <cell r="J18">
            <v>18</v>
          </cell>
          <cell r="K18" t="b">
            <v>0</v>
          </cell>
          <cell r="L18" t="str">
            <v>--</v>
          </cell>
          <cell r="M18" t="str">
            <v>--</v>
          </cell>
          <cell r="N18" t="str">
            <v>(09/28/26-10/04/26)</v>
          </cell>
          <cell r="O18" t="b">
            <v>0</v>
          </cell>
          <cell r="P18">
            <v>46296</v>
          </cell>
          <cell r="Q18">
            <v>5</v>
          </cell>
          <cell r="R18" t="b">
            <v>0</v>
          </cell>
          <cell r="S18">
            <v>46301</v>
          </cell>
          <cell r="T18" t="str">
            <v>--</v>
          </cell>
          <cell r="U18">
            <v>20</v>
          </cell>
          <cell r="V18" t="b">
            <v>0</v>
          </cell>
          <cell r="W18">
            <v>46321</v>
          </cell>
          <cell r="X18">
            <v>5</v>
          </cell>
          <cell r="Y18" t="b">
            <v>0</v>
          </cell>
          <cell r="Z18" t="b">
            <v>0</v>
          </cell>
          <cell r="AA18">
            <v>46326</v>
          </cell>
          <cell r="AB18" t="str">
            <v>Sat</v>
          </cell>
          <cell r="AC18" t="str">
            <v>--</v>
          </cell>
          <cell r="AD18" t="str">
            <v>--</v>
          </cell>
          <cell r="AE18" t="b">
            <v>0</v>
          </cell>
          <cell r="AF18" t="b">
            <v>0</v>
          </cell>
          <cell r="AG18" t="b">
            <v>0</v>
          </cell>
          <cell r="AH18">
            <v>46328</v>
          </cell>
          <cell r="AI18" t="str">
            <v>-2 days</v>
          </cell>
          <cell r="AJ18">
            <v>-2</v>
          </cell>
          <cell r="AK18">
            <v>30</v>
          </cell>
          <cell r="AL18" t="str">
            <v>--</v>
          </cell>
        </row>
        <row r="19">
          <cell r="C19">
            <v>9</v>
          </cell>
          <cell r="D19" t="str">
            <v>PROJ</v>
          </cell>
          <cell r="E19">
            <v>12</v>
          </cell>
          <cell r="F19">
            <v>41</v>
          </cell>
          <cell r="G19" t="str">
            <v>Wk 41</v>
          </cell>
          <cell r="H19" t="str">
            <v>6</v>
          </cell>
          <cell r="I19" t="str">
            <v>636:649,652:653</v>
          </cell>
          <cell r="J19">
            <v>16</v>
          </cell>
          <cell r="K19" t="b">
            <v>0</v>
          </cell>
          <cell r="L19" t="str">
            <v>--</v>
          </cell>
          <cell r="M19" t="str">
            <v>--</v>
          </cell>
          <cell r="N19" t="str">
            <v>(10/05/26-10/11/26)</v>
          </cell>
          <cell r="O19" t="b">
            <v>0</v>
          </cell>
          <cell r="P19">
            <v>46303</v>
          </cell>
          <cell r="Q19">
            <v>5</v>
          </cell>
          <cell r="R19" t="b">
            <v>0</v>
          </cell>
          <cell r="S19">
            <v>46308</v>
          </cell>
          <cell r="T19" t="str">
            <v>--</v>
          </cell>
          <cell r="U19">
            <v>20</v>
          </cell>
          <cell r="V19" t="b">
            <v>0</v>
          </cell>
          <cell r="W19">
            <v>46328</v>
          </cell>
          <cell r="X19">
            <v>5</v>
          </cell>
          <cell r="Y19" t="b">
            <v>0</v>
          </cell>
          <cell r="Z19" t="b">
            <v>0</v>
          </cell>
          <cell r="AA19">
            <v>46333</v>
          </cell>
          <cell r="AB19" t="str">
            <v>Sat</v>
          </cell>
          <cell r="AC19" t="str">
            <v>--</v>
          </cell>
          <cell r="AD19" t="str">
            <v>--</v>
          </cell>
          <cell r="AE19" t="b">
            <v>0</v>
          </cell>
          <cell r="AF19" t="b">
            <v>0</v>
          </cell>
          <cell r="AG19" t="b">
            <v>0</v>
          </cell>
          <cell r="AH19">
            <v>46328</v>
          </cell>
          <cell r="AI19" t="str">
            <v>+5 days</v>
          </cell>
          <cell r="AJ19">
            <v>5</v>
          </cell>
          <cell r="AK19">
            <v>30</v>
          </cell>
          <cell r="AL19" t="str">
            <v>--</v>
          </cell>
        </row>
        <row r="20">
          <cell r="C20">
            <v>9</v>
          </cell>
          <cell r="D20" t="str">
            <v>PROJ</v>
          </cell>
          <cell r="E20">
            <v>13</v>
          </cell>
          <cell r="F20">
            <v>41</v>
          </cell>
          <cell r="G20" t="str">
            <v>Wk 41</v>
          </cell>
          <cell r="H20" t="str">
            <v>6,7</v>
          </cell>
          <cell r="I20" t="str">
            <v>654:658,701:713</v>
          </cell>
          <cell r="J20">
            <v>18</v>
          </cell>
          <cell r="K20" t="b">
            <v>0</v>
          </cell>
          <cell r="L20" t="str">
            <v>--</v>
          </cell>
          <cell r="M20" t="str">
            <v>--</v>
          </cell>
          <cell r="N20" t="str">
            <v>(10/05/26-10/11/26)</v>
          </cell>
          <cell r="O20" t="b">
            <v>0</v>
          </cell>
          <cell r="P20">
            <v>46303</v>
          </cell>
          <cell r="Q20">
            <v>5</v>
          </cell>
          <cell r="R20" t="b">
            <v>0</v>
          </cell>
          <cell r="S20">
            <v>46308</v>
          </cell>
          <cell r="T20" t="str">
            <v>--</v>
          </cell>
          <cell r="U20">
            <v>20</v>
          </cell>
          <cell r="V20" t="b">
            <v>0</v>
          </cell>
          <cell r="W20">
            <v>46328</v>
          </cell>
          <cell r="X20">
            <v>5</v>
          </cell>
          <cell r="Y20" t="b">
            <v>0</v>
          </cell>
          <cell r="Z20" t="b">
            <v>0</v>
          </cell>
          <cell r="AA20">
            <v>46333</v>
          </cell>
          <cell r="AB20" t="str">
            <v>Sat</v>
          </cell>
          <cell r="AC20" t="str">
            <v>--</v>
          </cell>
          <cell r="AD20" t="str">
            <v>--</v>
          </cell>
          <cell r="AE20" t="b">
            <v>0</v>
          </cell>
          <cell r="AF20" t="b">
            <v>0</v>
          </cell>
          <cell r="AG20" t="b">
            <v>0</v>
          </cell>
          <cell r="AH20">
            <v>46328</v>
          </cell>
          <cell r="AI20" t="str">
            <v>+5 days</v>
          </cell>
          <cell r="AJ20">
            <v>5</v>
          </cell>
          <cell r="AK20">
            <v>30</v>
          </cell>
          <cell r="AL20" t="str">
            <v>--</v>
          </cell>
        </row>
        <row r="21">
          <cell r="C21">
            <v>9</v>
          </cell>
          <cell r="D21" t="str">
            <v>PROJ</v>
          </cell>
          <cell r="E21">
            <v>14</v>
          </cell>
          <cell r="F21">
            <v>42</v>
          </cell>
          <cell r="G21" t="str">
            <v>Wk 42</v>
          </cell>
          <cell r="H21" t="str">
            <v>7</v>
          </cell>
          <cell r="I21" t="str">
            <v>714:731</v>
          </cell>
          <cell r="J21">
            <v>18</v>
          </cell>
          <cell r="K21" t="b">
            <v>0</v>
          </cell>
          <cell r="L21" t="str">
            <v>--</v>
          </cell>
          <cell r="M21" t="str">
            <v>--</v>
          </cell>
          <cell r="N21" t="str">
            <v>(10/12/26-10/18/26)</v>
          </cell>
          <cell r="O21" t="b">
            <v>0</v>
          </cell>
          <cell r="P21">
            <v>46310</v>
          </cell>
          <cell r="Q21">
            <v>5</v>
          </cell>
          <cell r="R21" t="b">
            <v>0</v>
          </cell>
          <cell r="S21">
            <v>46315</v>
          </cell>
          <cell r="T21" t="str">
            <v>--</v>
          </cell>
          <cell r="U21">
            <v>20</v>
          </cell>
          <cell r="V21" t="b">
            <v>0</v>
          </cell>
          <cell r="W21">
            <v>46335</v>
          </cell>
          <cell r="X21">
            <v>5</v>
          </cell>
          <cell r="Y21" t="b">
            <v>0</v>
          </cell>
          <cell r="Z21" t="b">
            <v>0</v>
          </cell>
          <cell r="AA21">
            <v>46340</v>
          </cell>
          <cell r="AB21" t="str">
            <v>Sat</v>
          </cell>
          <cell r="AC21" t="str">
            <v>--</v>
          </cell>
          <cell r="AD21" t="str">
            <v>--</v>
          </cell>
          <cell r="AE21" t="b">
            <v>0</v>
          </cell>
          <cell r="AF21" t="b">
            <v>0</v>
          </cell>
          <cell r="AG21" t="b">
            <v>0</v>
          </cell>
          <cell r="AH21">
            <v>46342</v>
          </cell>
          <cell r="AI21" t="str">
            <v>-2 days</v>
          </cell>
          <cell r="AJ21">
            <v>-2</v>
          </cell>
          <cell r="AK21">
            <v>30</v>
          </cell>
          <cell r="AL21" t="str">
            <v>--</v>
          </cell>
        </row>
        <row r="22">
          <cell r="C22">
            <v>9</v>
          </cell>
          <cell r="D22" t="str">
            <v>PROJ</v>
          </cell>
          <cell r="E22">
            <v>15</v>
          </cell>
          <cell r="F22">
            <v>42</v>
          </cell>
          <cell r="G22" t="str">
            <v>Wk 42</v>
          </cell>
          <cell r="H22" t="str">
            <v>7</v>
          </cell>
          <cell r="I22" t="str">
            <v>732:749</v>
          </cell>
          <cell r="J22">
            <v>18</v>
          </cell>
          <cell r="K22" t="b">
            <v>0</v>
          </cell>
          <cell r="L22" t="str">
            <v>--</v>
          </cell>
          <cell r="M22" t="str">
            <v>--</v>
          </cell>
          <cell r="N22" t="str">
            <v>(10/12/26-10/18/26)</v>
          </cell>
          <cell r="O22" t="b">
            <v>0</v>
          </cell>
          <cell r="P22">
            <v>46310</v>
          </cell>
          <cell r="Q22">
            <v>5</v>
          </cell>
          <cell r="R22" t="b">
            <v>0</v>
          </cell>
          <cell r="S22">
            <v>46315</v>
          </cell>
          <cell r="T22" t="str">
            <v>--</v>
          </cell>
          <cell r="U22">
            <v>20</v>
          </cell>
          <cell r="V22" t="b">
            <v>0</v>
          </cell>
          <cell r="W22">
            <v>46335</v>
          </cell>
          <cell r="X22">
            <v>5</v>
          </cell>
          <cell r="Y22" t="b">
            <v>0</v>
          </cell>
          <cell r="Z22" t="b">
            <v>0</v>
          </cell>
          <cell r="AA22">
            <v>46340</v>
          </cell>
          <cell r="AB22" t="str">
            <v>Sat</v>
          </cell>
          <cell r="AC22" t="str">
            <v>--</v>
          </cell>
          <cell r="AD22" t="str">
            <v>--</v>
          </cell>
          <cell r="AE22" t="b">
            <v>0</v>
          </cell>
          <cell r="AF22" t="b">
            <v>0</v>
          </cell>
          <cell r="AG22" t="b">
            <v>0</v>
          </cell>
          <cell r="AH22">
            <v>46342</v>
          </cell>
          <cell r="AI22" t="str">
            <v>-2 days</v>
          </cell>
          <cell r="AJ22">
            <v>-2</v>
          </cell>
          <cell r="AK22">
            <v>30</v>
          </cell>
          <cell r="AL22" t="str">
            <v>--</v>
          </cell>
        </row>
        <row r="23">
          <cell r="C23">
            <v>9</v>
          </cell>
          <cell r="D23" t="str">
            <v>PROJ</v>
          </cell>
          <cell r="E23">
            <v>16</v>
          </cell>
          <cell r="F23">
            <v>43</v>
          </cell>
          <cell r="G23" t="str">
            <v>Wk 43</v>
          </cell>
          <cell r="H23" t="str">
            <v>7,8</v>
          </cell>
          <cell r="I23" t="str">
            <v>752:758,801:809</v>
          </cell>
          <cell r="J23">
            <v>16</v>
          </cell>
          <cell r="K23" t="b">
            <v>0</v>
          </cell>
          <cell r="L23" t="str">
            <v>--</v>
          </cell>
          <cell r="M23" t="str">
            <v>--</v>
          </cell>
          <cell r="N23" t="str">
            <v>(10/19/26-10/25/26)</v>
          </cell>
          <cell r="O23" t="b">
            <v>0</v>
          </cell>
          <cell r="P23">
            <v>46317</v>
          </cell>
          <cell r="Q23">
            <v>5</v>
          </cell>
          <cell r="R23" t="b">
            <v>0</v>
          </cell>
          <cell r="S23">
            <v>46322</v>
          </cell>
          <cell r="T23" t="str">
            <v>--</v>
          </cell>
          <cell r="U23">
            <v>20</v>
          </cell>
          <cell r="V23" t="b">
            <v>0</v>
          </cell>
          <cell r="W23">
            <v>46342</v>
          </cell>
          <cell r="X23">
            <v>5</v>
          </cell>
          <cell r="Y23" t="b">
            <v>0</v>
          </cell>
          <cell r="Z23" t="b">
            <v>0</v>
          </cell>
          <cell r="AA23">
            <v>46347</v>
          </cell>
          <cell r="AB23" t="str">
            <v>Sat</v>
          </cell>
          <cell r="AC23" t="str">
            <v>--</v>
          </cell>
          <cell r="AD23" t="str">
            <v>--</v>
          </cell>
          <cell r="AE23" t="b">
            <v>0</v>
          </cell>
          <cell r="AF23" t="b">
            <v>0</v>
          </cell>
          <cell r="AG23" t="b">
            <v>0</v>
          </cell>
          <cell r="AH23">
            <v>46342</v>
          </cell>
          <cell r="AI23" t="str">
            <v>+5 days</v>
          </cell>
          <cell r="AJ23">
            <v>5</v>
          </cell>
          <cell r="AK23">
            <v>30</v>
          </cell>
          <cell r="AL23" t="str">
            <v>--</v>
          </cell>
        </row>
        <row r="24">
          <cell r="C24">
            <v>9</v>
          </cell>
          <cell r="D24" t="str">
            <v>PROJ</v>
          </cell>
          <cell r="E24">
            <v>17</v>
          </cell>
          <cell r="F24">
            <v>44</v>
          </cell>
          <cell r="G24" t="str">
            <v>Wk 44</v>
          </cell>
          <cell r="H24" t="str">
            <v>8</v>
          </cell>
          <cell r="I24" t="str">
            <v>810:827</v>
          </cell>
          <cell r="J24">
            <v>18</v>
          </cell>
          <cell r="K24" t="b">
            <v>0</v>
          </cell>
          <cell r="L24" t="str">
            <v>--</v>
          </cell>
          <cell r="M24" t="str">
            <v>--</v>
          </cell>
          <cell r="N24" t="str">
            <v>(10/26/26-11/01/26)</v>
          </cell>
          <cell r="O24" t="b">
            <v>0</v>
          </cell>
          <cell r="P24">
            <v>46324</v>
          </cell>
          <cell r="Q24">
            <v>5</v>
          </cell>
          <cell r="R24" t="b">
            <v>0</v>
          </cell>
          <cell r="S24">
            <v>46329</v>
          </cell>
          <cell r="T24" t="str">
            <v>--</v>
          </cell>
          <cell r="U24">
            <v>20</v>
          </cell>
          <cell r="V24" t="b">
            <v>0</v>
          </cell>
          <cell r="W24">
            <v>46349</v>
          </cell>
          <cell r="X24">
            <v>5</v>
          </cell>
          <cell r="Y24" t="b">
            <v>0</v>
          </cell>
          <cell r="Z24" t="b">
            <v>0</v>
          </cell>
          <cell r="AA24">
            <v>46354</v>
          </cell>
          <cell r="AB24" t="str">
            <v>Sat</v>
          </cell>
          <cell r="AC24" t="str">
            <v>--</v>
          </cell>
          <cell r="AD24" t="str">
            <v>--</v>
          </cell>
          <cell r="AE24" t="b">
            <v>0</v>
          </cell>
          <cell r="AF24" t="b">
            <v>0</v>
          </cell>
          <cell r="AG24" t="b">
            <v>0</v>
          </cell>
          <cell r="AH24">
            <v>46356</v>
          </cell>
          <cell r="AI24" t="str">
            <v>-2 days</v>
          </cell>
          <cell r="AJ24">
            <v>-2</v>
          </cell>
          <cell r="AK24">
            <v>30</v>
          </cell>
          <cell r="AL24" t="str">
            <v>--</v>
          </cell>
        </row>
        <row r="25">
          <cell r="C25">
            <v>9</v>
          </cell>
          <cell r="D25" t="str">
            <v>PROJ</v>
          </cell>
          <cell r="E25">
            <v>18</v>
          </cell>
          <cell r="F25">
            <v>44</v>
          </cell>
          <cell r="G25" t="str">
            <v>Wk 44</v>
          </cell>
          <cell r="H25" t="str">
            <v>8</v>
          </cell>
          <cell r="I25" t="str">
            <v>828:845</v>
          </cell>
          <cell r="J25">
            <v>18</v>
          </cell>
          <cell r="K25" t="b">
            <v>0</v>
          </cell>
          <cell r="L25" t="str">
            <v>--</v>
          </cell>
          <cell r="M25" t="str">
            <v>--</v>
          </cell>
          <cell r="N25" t="str">
            <v>(10/26/26-11/01/26)</v>
          </cell>
          <cell r="O25" t="b">
            <v>0</v>
          </cell>
          <cell r="P25">
            <v>46324</v>
          </cell>
          <cell r="Q25">
            <v>5</v>
          </cell>
          <cell r="R25" t="b">
            <v>0</v>
          </cell>
          <cell r="S25">
            <v>46329</v>
          </cell>
          <cell r="T25" t="str">
            <v>--</v>
          </cell>
          <cell r="U25">
            <v>20</v>
          </cell>
          <cell r="V25" t="b">
            <v>0</v>
          </cell>
          <cell r="W25">
            <v>46349</v>
          </cell>
          <cell r="X25">
            <v>5</v>
          </cell>
          <cell r="Y25" t="b">
            <v>0</v>
          </cell>
          <cell r="Z25" t="b">
            <v>0</v>
          </cell>
          <cell r="AA25">
            <v>46354</v>
          </cell>
          <cell r="AB25" t="str">
            <v>Sat</v>
          </cell>
          <cell r="AC25" t="str">
            <v>--</v>
          </cell>
          <cell r="AD25" t="str">
            <v>--</v>
          </cell>
          <cell r="AE25" t="b">
            <v>0</v>
          </cell>
          <cell r="AF25" t="b">
            <v>0</v>
          </cell>
          <cell r="AG25" t="b">
            <v>0</v>
          </cell>
          <cell r="AH25">
            <v>46356</v>
          </cell>
          <cell r="AI25" t="str">
            <v>-2 days</v>
          </cell>
          <cell r="AJ25">
            <v>-2</v>
          </cell>
          <cell r="AK25">
            <v>30</v>
          </cell>
          <cell r="AL25" t="str">
            <v>--</v>
          </cell>
        </row>
        <row r="26">
          <cell r="C26">
            <v>9</v>
          </cell>
          <cell r="D26" t="str">
            <v>PROJ</v>
          </cell>
          <cell r="E26">
            <v>19</v>
          </cell>
          <cell r="F26">
            <v>45</v>
          </cell>
          <cell r="G26" t="str">
            <v>Wk 45</v>
          </cell>
          <cell r="H26" t="str">
            <v>8,9</v>
          </cell>
          <cell r="I26" t="str">
            <v>846:849,852:858,901:905</v>
          </cell>
          <cell r="J26">
            <v>16</v>
          </cell>
          <cell r="K26" t="b">
            <v>0</v>
          </cell>
          <cell r="L26" t="str">
            <v>--</v>
          </cell>
          <cell r="M26" t="str">
            <v>--</v>
          </cell>
          <cell r="N26" t="str">
            <v>(11/02/26-11/08/26)</v>
          </cell>
          <cell r="O26" t="b">
            <v>0</v>
          </cell>
          <cell r="P26">
            <v>46331</v>
          </cell>
          <cell r="Q26">
            <v>5</v>
          </cell>
          <cell r="R26" t="b">
            <v>0</v>
          </cell>
          <cell r="S26">
            <v>46336</v>
          </cell>
          <cell r="T26" t="str">
            <v>--</v>
          </cell>
          <cell r="U26">
            <v>20</v>
          </cell>
          <cell r="V26" t="b">
            <v>0</v>
          </cell>
          <cell r="W26">
            <v>46356</v>
          </cell>
          <cell r="X26">
            <v>5</v>
          </cell>
          <cell r="Y26" t="b">
            <v>0</v>
          </cell>
          <cell r="Z26" t="b">
            <v>0</v>
          </cell>
          <cell r="AA26">
            <v>46361</v>
          </cell>
          <cell r="AB26" t="str">
            <v>Sat</v>
          </cell>
          <cell r="AC26" t="str">
            <v>--</v>
          </cell>
          <cell r="AD26" t="str">
            <v>--</v>
          </cell>
          <cell r="AE26" t="b">
            <v>0</v>
          </cell>
          <cell r="AF26" t="b">
            <v>0</v>
          </cell>
          <cell r="AG26" t="b">
            <v>0</v>
          </cell>
          <cell r="AH26">
            <v>46356</v>
          </cell>
          <cell r="AI26" t="str">
            <v>+5 days</v>
          </cell>
          <cell r="AJ26">
            <v>5</v>
          </cell>
          <cell r="AK26">
            <v>30</v>
          </cell>
          <cell r="AL26" t="str">
            <v>--</v>
          </cell>
        </row>
        <row r="27">
          <cell r="C27">
            <v>9</v>
          </cell>
          <cell r="D27" t="str">
            <v>PROJ</v>
          </cell>
          <cell r="E27">
            <v>20</v>
          </cell>
          <cell r="F27">
            <v>46</v>
          </cell>
          <cell r="G27" t="str">
            <v>Wk 46</v>
          </cell>
          <cell r="H27" t="str">
            <v>9</v>
          </cell>
          <cell r="I27" t="str">
            <v>906:923</v>
          </cell>
          <cell r="J27">
            <v>18</v>
          </cell>
          <cell r="K27" t="b">
            <v>0</v>
          </cell>
          <cell r="L27" t="str">
            <v>--</v>
          </cell>
          <cell r="M27" t="str">
            <v>--</v>
          </cell>
          <cell r="N27" t="str">
            <v>(11/09/26-11/15/26)</v>
          </cell>
          <cell r="O27" t="b">
            <v>0</v>
          </cell>
          <cell r="P27">
            <v>46338</v>
          </cell>
          <cell r="Q27">
            <v>5</v>
          </cell>
          <cell r="R27" t="b">
            <v>0</v>
          </cell>
          <cell r="S27">
            <v>46343</v>
          </cell>
          <cell r="T27" t="str">
            <v>--</v>
          </cell>
          <cell r="U27">
            <v>20</v>
          </cell>
          <cell r="V27" t="b">
            <v>0</v>
          </cell>
          <cell r="W27">
            <v>46363</v>
          </cell>
          <cell r="X27">
            <v>5</v>
          </cell>
          <cell r="Y27" t="b">
            <v>0</v>
          </cell>
          <cell r="Z27" t="b">
            <v>0</v>
          </cell>
          <cell r="AA27">
            <v>46368</v>
          </cell>
          <cell r="AB27" t="str">
            <v>Sat</v>
          </cell>
          <cell r="AC27" t="str">
            <v>--</v>
          </cell>
          <cell r="AD27" t="str">
            <v>--</v>
          </cell>
          <cell r="AE27" t="b">
            <v>0</v>
          </cell>
          <cell r="AF27" t="b">
            <v>0</v>
          </cell>
          <cell r="AG27" t="b">
            <v>0</v>
          </cell>
          <cell r="AH27">
            <v>46370</v>
          </cell>
          <cell r="AI27" t="str">
            <v>-2 days</v>
          </cell>
          <cell r="AJ27">
            <v>-2</v>
          </cell>
          <cell r="AK27">
            <v>30</v>
          </cell>
          <cell r="AL27" t="str">
            <v>--</v>
          </cell>
        </row>
        <row r="28">
          <cell r="C28">
            <v>9</v>
          </cell>
          <cell r="D28" t="str">
            <v>PROJ</v>
          </cell>
          <cell r="E28">
            <v>21</v>
          </cell>
          <cell r="F28">
            <v>46</v>
          </cell>
          <cell r="G28" t="str">
            <v>Wk 46</v>
          </cell>
          <cell r="H28" t="str">
            <v>9</v>
          </cell>
          <cell r="I28" t="str">
            <v>924:941</v>
          </cell>
          <cell r="J28">
            <v>18</v>
          </cell>
          <cell r="K28" t="b">
            <v>0</v>
          </cell>
          <cell r="L28" t="str">
            <v>--</v>
          </cell>
          <cell r="M28" t="str">
            <v>--</v>
          </cell>
          <cell r="N28" t="str">
            <v>(11/09/26-11/15/26)</v>
          </cell>
          <cell r="O28" t="b">
            <v>0</v>
          </cell>
          <cell r="P28">
            <v>46338</v>
          </cell>
          <cell r="Q28">
            <v>5</v>
          </cell>
          <cell r="R28" t="b">
            <v>0</v>
          </cell>
          <cell r="S28">
            <v>46343</v>
          </cell>
          <cell r="T28" t="str">
            <v>--</v>
          </cell>
          <cell r="U28">
            <v>20</v>
          </cell>
          <cell r="V28" t="b">
            <v>0</v>
          </cell>
          <cell r="W28">
            <v>46363</v>
          </cell>
          <cell r="X28">
            <v>5</v>
          </cell>
          <cell r="Y28" t="b">
            <v>0</v>
          </cell>
          <cell r="Z28" t="b">
            <v>0</v>
          </cell>
          <cell r="AA28">
            <v>46368</v>
          </cell>
          <cell r="AB28" t="str">
            <v>Sat</v>
          </cell>
          <cell r="AC28" t="str">
            <v>--</v>
          </cell>
          <cell r="AD28" t="str">
            <v>--</v>
          </cell>
          <cell r="AE28" t="b">
            <v>0</v>
          </cell>
          <cell r="AF28" t="b">
            <v>0</v>
          </cell>
          <cell r="AG28" t="b">
            <v>0</v>
          </cell>
          <cell r="AH28">
            <v>46370</v>
          </cell>
          <cell r="AI28" t="str">
            <v>-2 days</v>
          </cell>
          <cell r="AJ28">
            <v>-2</v>
          </cell>
          <cell r="AK28">
            <v>30</v>
          </cell>
          <cell r="AL28" t="str">
            <v>--</v>
          </cell>
        </row>
        <row r="29">
          <cell r="C29">
            <v>9</v>
          </cell>
          <cell r="D29" t="str">
            <v>PROJ</v>
          </cell>
          <cell r="E29">
            <v>22</v>
          </cell>
          <cell r="F29">
            <v>47</v>
          </cell>
          <cell r="G29" t="str">
            <v>Wk 47</v>
          </cell>
          <cell r="H29" t="str">
            <v>9,10</v>
          </cell>
          <cell r="I29" t="str">
            <v>942:949,952:958,1001</v>
          </cell>
          <cell r="J29">
            <v>16</v>
          </cell>
          <cell r="K29" t="b">
            <v>0</v>
          </cell>
          <cell r="L29" t="str">
            <v>--</v>
          </cell>
          <cell r="M29" t="str">
            <v>--</v>
          </cell>
          <cell r="N29" t="str">
            <v>(11/16/26-11/22/26)</v>
          </cell>
          <cell r="O29" t="b">
            <v>0</v>
          </cell>
          <cell r="P29">
            <v>46345</v>
          </cell>
          <cell r="Q29">
            <v>5</v>
          </cell>
          <cell r="R29" t="b">
            <v>0</v>
          </cell>
          <cell r="S29">
            <v>46350</v>
          </cell>
          <cell r="T29" t="str">
            <v>--</v>
          </cell>
          <cell r="U29">
            <v>20</v>
          </cell>
          <cell r="V29" t="b">
            <v>0</v>
          </cell>
          <cell r="W29">
            <v>46370</v>
          </cell>
          <cell r="X29">
            <v>5</v>
          </cell>
          <cell r="Y29" t="b">
            <v>0</v>
          </cell>
          <cell r="Z29" t="b">
            <v>0</v>
          </cell>
          <cell r="AA29">
            <v>46375</v>
          </cell>
          <cell r="AB29" t="str">
            <v>Sat</v>
          </cell>
          <cell r="AC29" t="str">
            <v>--</v>
          </cell>
          <cell r="AD29" t="str">
            <v>--</v>
          </cell>
          <cell r="AE29" t="b">
            <v>0</v>
          </cell>
          <cell r="AF29" t="b">
            <v>0</v>
          </cell>
          <cell r="AG29" t="b">
            <v>0</v>
          </cell>
          <cell r="AH29">
            <v>46370</v>
          </cell>
          <cell r="AI29" t="str">
            <v>+5 days</v>
          </cell>
          <cell r="AJ29">
            <v>5</v>
          </cell>
          <cell r="AK29">
            <v>30</v>
          </cell>
          <cell r="AL29" t="str">
            <v>--</v>
          </cell>
        </row>
        <row r="30">
          <cell r="C30">
            <v>9</v>
          </cell>
          <cell r="D30" t="str">
            <v>PROJ</v>
          </cell>
          <cell r="E30">
            <v>23</v>
          </cell>
          <cell r="F30">
            <v>47</v>
          </cell>
          <cell r="G30" t="str">
            <v>Wk 47</v>
          </cell>
          <cell r="H30" t="str">
            <v>10</v>
          </cell>
          <cell r="I30" t="str">
            <v>1002:1019</v>
          </cell>
          <cell r="J30">
            <v>18</v>
          </cell>
          <cell r="K30" t="b">
            <v>0</v>
          </cell>
          <cell r="L30" t="str">
            <v>--</v>
          </cell>
          <cell r="M30" t="str">
            <v>--</v>
          </cell>
          <cell r="N30" t="str">
            <v>(11/16/26-11/22/26)</v>
          </cell>
          <cell r="O30" t="b">
            <v>0</v>
          </cell>
          <cell r="P30">
            <v>46345</v>
          </cell>
          <cell r="Q30">
            <v>5</v>
          </cell>
          <cell r="R30" t="b">
            <v>0</v>
          </cell>
          <cell r="S30">
            <v>46350</v>
          </cell>
          <cell r="T30" t="str">
            <v>--</v>
          </cell>
          <cell r="U30">
            <v>20</v>
          </cell>
          <cell r="V30" t="b">
            <v>0</v>
          </cell>
          <cell r="W30">
            <v>46370</v>
          </cell>
          <cell r="X30">
            <v>5</v>
          </cell>
          <cell r="Y30" t="b">
            <v>0</v>
          </cell>
          <cell r="Z30" t="b">
            <v>0</v>
          </cell>
          <cell r="AA30">
            <v>46375</v>
          </cell>
          <cell r="AB30" t="str">
            <v>Sat</v>
          </cell>
          <cell r="AC30" t="str">
            <v>--</v>
          </cell>
          <cell r="AD30" t="str">
            <v>--</v>
          </cell>
          <cell r="AE30" t="b">
            <v>0</v>
          </cell>
          <cell r="AF30" t="b">
            <v>0</v>
          </cell>
          <cell r="AG30" t="b">
            <v>0</v>
          </cell>
          <cell r="AH30">
            <v>46384</v>
          </cell>
          <cell r="AI30" t="str">
            <v>-9 days</v>
          </cell>
          <cell r="AJ30">
            <v>-9</v>
          </cell>
          <cell r="AK30">
            <v>30</v>
          </cell>
          <cell r="AL30" t="str">
            <v>--</v>
          </cell>
        </row>
        <row r="31">
          <cell r="C31">
            <v>9</v>
          </cell>
          <cell r="D31" t="str">
            <v>PROJ</v>
          </cell>
          <cell r="E31">
            <v>24</v>
          </cell>
          <cell r="F31">
            <v>48</v>
          </cell>
          <cell r="G31" t="str">
            <v>Wk 48</v>
          </cell>
          <cell r="H31" t="str">
            <v>10</v>
          </cell>
          <cell r="I31" t="str">
            <v>1020:1037</v>
          </cell>
          <cell r="J31">
            <v>18</v>
          </cell>
          <cell r="K31" t="b">
            <v>0</v>
          </cell>
          <cell r="L31" t="str">
            <v>--</v>
          </cell>
          <cell r="M31" t="str">
            <v>--</v>
          </cell>
          <cell r="N31" t="str">
            <v>(11/23/26-11/29/26)</v>
          </cell>
          <cell r="O31" t="b">
            <v>0</v>
          </cell>
          <cell r="P31">
            <v>46352</v>
          </cell>
          <cell r="Q31">
            <v>5</v>
          </cell>
          <cell r="R31" t="b">
            <v>0</v>
          </cell>
          <cell r="S31">
            <v>46357</v>
          </cell>
          <cell r="T31" t="str">
            <v>--</v>
          </cell>
          <cell r="U31">
            <v>20</v>
          </cell>
          <cell r="V31" t="b">
            <v>0</v>
          </cell>
          <cell r="W31">
            <v>46377</v>
          </cell>
          <cell r="X31">
            <v>5</v>
          </cell>
          <cell r="Y31" t="b">
            <v>0</v>
          </cell>
          <cell r="Z31" t="b">
            <v>0</v>
          </cell>
          <cell r="AA31">
            <v>46382</v>
          </cell>
          <cell r="AB31" t="str">
            <v>Sat</v>
          </cell>
          <cell r="AC31" t="str">
            <v>--</v>
          </cell>
          <cell r="AD31" t="str">
            <v>--</v>
          </cell>
          <cell r="AE31" t="b">
            <v>0</v>
          </cell>
          <cell r="AF31" t="b">
            <v>0</v>
          </cell>
          <cell r="AG31" t="b">
            <v>0</v>
          </cell>
          <cell r="AH31">
            <v>46384</v>
          </cell>
          <cell r="AI31" t="str">
            <v>-2 days</v>
          </cell>
          <cell r="AJ31">
            <v>-2</v>
          </cell>
          <cell r="AK31">
            <v>30</v>
          </cell>
          <cell r="AL31" t="str">
            <v>--</v>
          </cell>
        </row>
        <row r="32">
          <cell r="C32">
            <v>9</v>
          </cell>
          <cell r="D32" t="str">
            <v>PROJ</v>
          </cell>
          <cell r="E32">
            <v>25</v>
          </cell>
          <cell r="F32">
            <v>48</v>
          </cell>
          <cell r="G32" t="str">
            <v>Wk 48</v>
          </cell>
          <cell r="H32" t="str">
            <v>10</v>
          </cell>
          <cell r="I32" t="str">
            <v>1038:1049,1052:1055</v>
          </cell>
          <cell r="J32">
            <v>16</v>
          </cell>
          <cell r="K32" t="b">
            <v>0</v>
          </cell>
          <cell r="L32" t="str">
            <v>--</v>
          </cell>
          <cell r="M32" t="str">
            <v>--</v>
          </cell>
          <cell r="N32" t="str">
            <v>(11/23/26-11/29/26)</v>
          </cell>
          <cell r="O32" t="b">
            <v>0</v>
          </cell>
          <cell r="P32">
            <v>46352</v>
          </cell>
          <cell r="Q32">
            <v>5</v>
          </cell>
          <cell r="R32" t="b">
            <v>0</v>
          </cell>
          <cell r="S32">
            <v>46357</v>
          </cell>
          <cell r="T32" t="str">
            <v>--</v>
          </cell>
          <cell r="U32">
            <v>20</v>
          </cell>
          <cell r="V32" t="b">
            <v>0</v>
          </cell>
          <cell r="W32">
            <v>46377</v>
          </cell>
          <cell r="X32">
            <v>5</v>
          </cell>
          <cell r="Y32" t="b">
            <v>0</v>
          </cell>
          <cell r="Z32" t="b">
            <v>0</v>
          </cell>
          <cell r="AA32">
            <v>46382</v>
          </cell>
          <cell r="AB32" t="str">
            <v>Sat</v>
          </cell>
          <cell r="AC32" t="str">
            <v>--</v>
          </cell>
          <cell r="AD32" t="str">
            <v>--</v>
          </cell>
          <cell r="AE32" t="b">
            <v>0</v>
          </cell>
          <cell r="AF32" t="b">
            <v>0</v>
          </cell>
          <cell r="AG32" t="b">
            <v>0</v>
          </cell>
          <cell r="AH32">
            <v>46384</v>
          </cell>
          <cell r="AI32" t="str">
            <v>-2 days</v>
          </cell>
          <cell r="AJ32">
            <v>-2</v>
          </cell>
          <cell r="AK32">
            <v>30</v>
          </cell>
          <cell r="AL32" t="str">
            <v>--</v>
          </cell>
        </row>
        <row r="33">
          <cell r="C33">
            <v>9</v>
          </cell>
          <cell r="D33" t="str">
            <v>PROJ</v>
          </cell>
          <cell r="E33">
            <v>26</v>
          </cell>
          <cell r="F33">
            <v>49</v>
          </cell>
          <cell r="G33" t="str">
            <v>Wk 49</v>
          </cell>
          <cell r="H33" t="str">
            <v>10,11</v>
          </cell>
          <cell r="I33" t="str">
            <v>1056:1058,1101:1115</v>
          </cell>
          <cell r="J33">
            <v>18</v>
          </cell>
          <cell r="K33" t="b">
            <v>0</v>
          </cell>
          <cell r="L33" t="str">
            <v>--</v>
          </cell>
          <cell r="M33" t="str">
            <v>--</v>
          </cell>
          <cell r="N33" t="str">
            <v>(11/30/26-12/06/26)</v>
          </cell>
          <cell r="O33" t="b">
            <v>0</v>
          </cell>
          <cell r="P33">
            <v>46359</v>
          </cell>
          <cell r="Q33">
            <v>5</v>
          </cell>
          <cell r="R33" t="b">
            <v>0</v>
          </cell>
          <cell r="S33">
            <v>46364</v>
          </cell>
          <cell r="T33" t="str">
            <v>--</v>
          </cell>
          <cell r="U33">
            <v>20</v>
          </cell>
          <cell r="V33" t="b">
            <v>0</v>
          </cell>
          <cell r="W33">
            <v>46384</v>
          </cell>
          <cell r="X33">
            <v>5</v>
          </cell>
          <cell r="Y33" t="b">
            <v>0</v>
          </cell>
          <cell r="Z33" t="b">
            <v>0</v>
          </cell>
          <cell r="AA33">
            <v>46389</v>
          </cell>
          <cell r="AB33" t="str">
            <v>Sat</v>
          </cell>
          <cell r="AC33" t="str">
            <v>--</v>
          </cell>
          <cell r="AD33" t="str">
            <v>--</v>
          </cell>
          <cell r="AE33" t="b">
            <v>0</v>
          </cell>
          <cell r="AF33" t="b">
            <v>0</v>
          </cell>
          <cell r="AG33" t="b">
            <v>0</v>
          </cell>
          <cell r="AH33">
            <v>46384</v>
          </cell>
          <cell r="AI33" t="str">
            <v>+5 days</v>
          </cell>
          <cell r="AJ33">
            <v>5</v>
          </cell>
          <cell r="AK33">
            <v>30</v>
          </cell>
          <cell r="AL33" t="str">
            <v>--</v>
          </cell>
        </row>
        <row r="34">
          <cell r="C34">
            <v>9</v>
          </cell>
          <cell r="D34" t="str">
            <v>PROJ</v>
          </cell>
          <cell r="E34">
            <v>27</v>
          </cell>
          <cell r="F34">
            <v>49</v>
          </cell>
          <cell r="G34" t="str">
            <v>Wk 49</v>
          </cell>
          <cell r="H34" t="str">
            <v>11</v>
          </cell>
          <cell r="I34" t="str">
            <v>1116:1133</v>
          </cell>
          <cell r="J34">
            <v>18</v>
          </cell>
          <cell r="K34" t="b">
            <v>0</v>
          </cell>
          <cell r="L34" t="str">
            <v>--</v>
          </cell>
          <cell r="M34" t="str">
            <v>--</v>
          </cell>
          <cell r="N34" t="str">
            <v>(11/30/26-12/06/26)</v>
          </cell>
          <cell r="O34" t="b">
            <v>0</v>
          </cell>
          <cell r="P34">
            <v>46359</v>
          </cell>
          <cell r="Q34">
            <v>5</v>
          </cell>
          <cell r="R34" t="b">
            <v>0</v>
          </cell>
          <cell r="S34">
            <v>46364</v>
          </cell>
          <cell r="T34" t="str">
            <v>--</v>
          </cell>
          <cell r="U34">
            <v>20</v>
          </cell>
          <cell r="V34" t="b">
            <v>0</v>
          </cell>
          <cell r="W34">
            <v>46384</v>
          </cell>
          <cell r="X34">
            <v>5</v>
          </cell>
          <cell r="Y34" t="b">
            <v>0</v>
          </cell>
          <cell r="Z34" t="b">
            <v>0</v>
          </cell>
          <cell r="AA34">
            <v>46389</v>
          </cell>
          <cell r="AB34" t="str">
            <v>Sat</v>
          </cell>
          <cell r="AC34" t="str">
            <v>--</v>
          </cell>
          <cell r="AD34" t="str">
            <v>--</v>
          </cell>
          <cell r="AE34" t="b">
            <v>0</v>
          </cell>
          <cell r="AF34" t="b">
            <v>0</v>
          </cell>
          <cell r="AG34" t="b">
            <v>0</v>
          </cell>
          <cell r="AH34">
            <v>46398</v>
          </cell>
          <cell r="AI34" t="str">
            <v>-9 days</v>
          </cell>
          <cell r="AJ34">
            <v>-9</v>
          </cell>
          <cell r="AK34">
            <v>30</v>
          </cell>
          <cell r="AL34" t="str">
            <v>--</v>
          </cell>
        </row>
        <row r="35">
          <cell r="C35">
            <v>9</v>
          </cell>
          <cell r="D35" t="str">
            <v>PROJ</v>
          </cell>
          <cell r="E35">
            <v>28</v>
          </cell>
          <cell r="F35">
            <v>50</v>
          </cell>
          <cell r="G35" t="str">
            <v>Wk 50</v>
          </cell>
          <cell r="H35" t="str">
            <v>11</v>
          </cell>
          <cell r="I35" t="str">
            <v>1134:1149</v>
          </cell>
          <cell r="J35">
            <v>16</v>
          </cell>
          <cell r="K35" t="b">
            <v>0</v>
          </cell>
          <cell r="L35" t="str">
            <v>--</v>
          </cell>
          <cell r="M35" t="str">
            <v>--</v>
          </cell>
          <cell r="N35" t="str">
            <v>(12/07/26-12/13/26)</v>
          </cell>
          <cell r="O35" t="b">
            <v>0</v>
          </cell>
          <cell r="P35">
            <v>46366</v>
          </cell>
          <cell r="Q35">
            <v>5</v>
          </cell>
          <cell r="R35" t="b">
            <v>0</v>
          </cell>
          <cell r="S35">
            <v>46371</v>
          </cell>
          <cell r="T35" t="str">
            <v>--</v>
          </cell>
          <cell r="U35">
            <v>20</v>
          </cell>
          <cell r="V35" t="b">
            <v>0</v>
          </cell>
          <cell r="W35">
            <v>46391</v>
          </cell>
          <cell r="X35">
            <v>5</v>
          </cell>
          <cell r="Y35" t="b">
            <v>0</v>
          </cell>
          <cell r="Z35" t="b">
            <v>0</v>
          </cell>
          <cell r="AA35">
            <v>46396</v>
          </cell>
          <cell r="AB35" t="str">
            <v>Sat</v>
          </cell>
          <cell r="AC35" t="str">
            <v>--</v>
          </cell>
          <cell r="AD35" t="str">
            <v>--</v>
          </cell>
          <cell r="AE35" t="b">
            <v>0</v>
          </cell>
          <cell r="AF35" t="b">
            <v>0</v>
          </cell>
          <cell r="AG35" t="b">
            <v>0</v>
          </cell>
          <cell r="AH35">
            <v>46398</v>
          </cell>
          <cell r="AI35" t="str">
            <v>-2 days</v>
          </cell>
          <cell r="AJ35">
            <v>-2</v>
          </cell>
          <cell r="AK35">
            <v>30</v>
          </cell>
          <cell r="AL35" t="str">
            <v>--</v>
          </cell>
        </row>
        <row r="36">
          <cell r="C36">
            <v>9</v>
          </cell>
          <cell r="D36" t="str">
            <v>PROJ</v>
          </cell>
          <cell r="E36">
            <v>29</v>
          </cell>
          <cell r="F36">
            <v>50</v>
          </cell>
          <cell r="G36" t="str">
            <v>Wk 50</v>
          </cell>
          <cell r="H36" t="str">
            <v>11,12</v>
          </cell>
          <cell r="I36" t="str">
            <v>1152:1158,1201:1211</v>
          </cell>
          <cell r="J36">
            <v>18</v>
          </cell>
          <cell r="K36" t="b">
            <v>0</v>
          </cell>
          <cell r="L36" t="str">
            <v>--</v>
          </cell>
          <cell r="M36" t="str">
            <v>--</v>
          </cell>
          <cell r="N36" t="str">
            <v>(12/07/26-12/13/26)</v>
          </cell>
          <cell r="O36" t="b">
            <v>0</v>
          </cell>
          <cell r="P36">
            <v>46366</v>
          </cell>
          <cell r="Q36">
            <v>5</v>
          </cell>
          <cell r="R36" t="b">
            <v>0</v>
          </cell>
          <cell r="S36">
            <v>46371</v>
          </cell>
          <cell r="T36" t="str">
            <v>--</v>
          </cell>
          <cell r="U36">
            <v>20</v>
          </cell>
          <cell r="V36" t="b">
            <v>0</v>
          </cell>
          <cell r="W36">
            <v>46391</v>
          </cell>
          <cell r="X36">
            <v>5</v>
          </cell>
          <cell r="Y36" t="b">
            <v>0</v>
          </cell>
          <cell r="Z36" t="b">
            <v>0</v>
          </cell>
          <cell r="AA36">
            <v>46396</v>
          </cell>
          <cell r="AB36" t="str">
            <v>Sat</v>
          </cell>
          <cell r="AC36" t="str">
            <v>--</v>
          </cell>
          <cell r="AD36" t="str">
            <v>--</v>
          </cell>
          <cell r="AE36" t="b">
            <v>0</v>
          </cell>
          <cell r="AF36" t="b">
            <v>0</v>
          </cell>
          <cell r="AG36" t="b">
            <v>0</v>
          </cell>
          <cell r="AH36">
            <v>46398</v>
          </cell>
          <cell r="AI36" t="str">
            <v>-2 days</v>
          </cell>
          <cell r="AJ36">
            <v>-2</v>
          </cell>
          <cell r="AK36">
            <v>30</v>
          </cell>
          <cell r="AL36" t="str">
            <v>HOIST</v>
          </cell>
        </row>
        <row r="37">
          <cell r="C37">
            <v>9</v>
          </cell>
          <cell r="D37" t="str">
            <v>PROJ</v>
          </cell>
          <cell r="E37">
            <v>30</v>
          </cell>
          <cell r="F37">
            <v>51</v>
          </cell>
          <cell r="G37" t="str">
            <v>Wk 51</v>
          </cell>
          <cell r="H37" t="str">
            <v>12</v>
          </cell>
          <cell r="I37" t="str">
            <v>1212:1229</v>
          </cell>
          <cell r="J37">
            <v>18</v>
          </cell>
          <cell r="K37" t="b">
            <v>0</v>
          </cell>
          <cell r="L37" t="str">
            <v>--</v>
          </cell>
          <cell r="M37" t="str">
            <v>--</v>
          </cell>
          <cell r="N37" t="str">
            <v>(12/14/26-12/20/26)</v>
          </cell>
          <cell r="O37" t="b">
            <v>0</v>
          </cell>
          <cell r="P37">
            <v>46373</v>
          </cell>
          <cell r="Q37">
            <v>5</v>
          </cell>
          <cell r="R37" t="b">
            <v>0</v>
          </cell>
          <cell r="S37">
            <v>46378</v>
          </cell>
          <cell r="T37" t="str">
            <v>--</v>
          </cell>
          <cell r="U37">
            <v>20</v>
          </cell>
          <cell r="V37" t="b">
            <v>0</v>
          </cell>
          <cell r="W37">
            <v>46398</v>
          </cell>
          <cell r="X37">
            <v>5</v>
          </cell>
          <cell r="Y37" t="b">
            <v>0</v>
          </cell>
          <cell r="Z37" t="b">
            <v>0</v>
          </cell>
          <cell r="AA37">
            <v>46403</v>
          </cell>
          <cell r="AB37" t="str">
            <v>Sat</v>
          </cell>
          <cell r="AC37" t="str">
            <v>--</v>
          </cell>
          <cell r="AD37" t="str">
            <v>--</v>
          </cell>
          <cell r="AE37" t="b">
            <v>0</v>
          </cell>
          <cell r="AF37" t="b">
            <v>0</v>
          </cell>
          <cell r="AG37" t="b">
            <v>0</v>
          </cell>
          <cell r="AH37">
            <v>46412</v>
          </cell>
          <cell r="AI37" t="str">
            <v>-9 days</v>
          </cell>
          <cell r="AJ37">
            <v>-9</v>
          </cell>
          <cell r="AK37">
            <v>30</v>
          </cell>
          <cell r="AL37" t="str">
            <v>HOIST</v>
          </cell>
        </row>
        <row r="38">
          <cell r="C38">
            <v>9</v>
          </cell>
          <cell r="D38" t="str">
            <v>PROJ</v>
          </cell>
          <cell r="E38">
            <v>31</v>
          </cell>
          <cell r="F38">
            <v>51</v>
          </cell>
          <cell r="G38" t="str">
            <v>Wk 51</v>
          </cell>
          <cell r="H38" t="str">
            <v>12</v>
          </cell>
          <cell r="I38" t="str">
            <v>1230:1247</v>
          </cell>
          <cell r="J38">
            <v>18</v>
          </cell>
          <cell r="K38" t="b">
            <v>0</v>
          </cell>
          <cell r="L38" t="str">
            <v>--</v>
          </cell>
          <cell r="M38" t="str">
            <v>--</v>
          </cell>
          <cell r="N38" t="str">
            <v>(12/14/26-12/20/26)</v>
          </cell>
          <cell r="O38" t="b">
            <v>0</v>
          </cell>
          <cell r="P38">
            <v>46373</v>
          </cell>
          <cell r="Q38">
            <v>5</v>
          </cell>
          <cell r="R38" t="b">
            <v>0</v>
          </cell>
          <cell r="S38">
            <v>46378</v>
          </cell>
          <cell r="T38" t="str">
            <v>--</v>
          </cell>
          <cell r="U38">
            <v>20</v>
          </cell>
          <cell r="V38" t="b">
            <v>0</v>
          </cell>
          <cell r="W38">
            <v>46398</v>
          </cell>
          <cell r="X38">
            <v>5</v>
          </cell>
          <cell r="Y38" t="b">
            <v>0</v>
          </cell>
          <cell r="Z38" t="b">
            <v>0</v>
          </cell>
          <cell r="AA38">
            <v>46403</v>
          </cell>
          <cell r="AB38" t="str">
            <v>Sat</v>
          </cell>
          <cell r="AC38" t="str">
            <v>--</v>
          </cell>
          <cell r="AD38" t="str">
            <v>--</v>
          </cell>
          <cell r="AE38" t="b">
            <v>0</v>
          </cell>
          <cell r="AF38" t="b">
            <v>0</v>
          </cell>
          <cell r="AG38" t="b">
            <v>0</v>
          </cell>
          <cell r="AH38">
            <v>46412</v>
          </cell>
          <cell r="AI38" t="str">
            <v>-9 days</v>
          </cell>
          <cell r="AJ38">
            <v>-9</v>
          </cell>
          <cell r="AK38">
            <v>30</v>
          </cell>
          <cell r="AL38" t="str">
            <v>--</v>
          </cell>
        </row>
        <row r="39">
          <cell r="C39">
            <v>9</v>
          </cell>
          <cell r="D39" t="str">
            <v>PROJ</v>
          </cell>
          <cell r="E39" t="str">
            <v>Doors</v>
          </cell>
          <cell r="F39">
            <v>54</v>
          </cell>
          <cell r="G39" t="str">
            <v>Wk 54</v>
          </cell>
          <cell r="H39">
            <v>3</v>
          </cell>
          <cell r="I39" t="str">
            <v>3rd Floor Doors</v>
          </cell>
          <cell r="J39">
            <v>58</v>
          </cell>
          <cell r="K39" t="b">
            <v>0</v>
          </cell>
          <cell r="L39" t="str">
            <v>--</v>
          </cell>
          <cell r="M39" t="str">
            <v>--</v>
          </cell>
          <cell r="N39" t="str">
            <v>(01/04/27-01/10/27)</v>
          </cell>
          <cell r="O39" t="b">
            <v>0</v>
          </cell>
          <cell r="P39">
            <v>46394</v>
          </cell>
          <cell r="Q39">
            <v>5</v>
          </cell>
          <cell r="R39" t="b">
            <v>0</v>
          </cell>
          <cell r="S39">
            <v>46399</v>
          </cell>
          <cell r="T39" t="str">
            <v>--</v>
          </cell>
          <cell r="U39">
            <v>20</v>
          </cell>
          <cell r="V39" t="b">
            <v>0</v>
          </cell>
          <cell r="W39">
            <v>46419</v>
          </cell>
          <cell r="X39">
            <v>5</v>
          </cell>
          <cell r="Y39" t="b">
            <v>0</v>
          </cell>
          <cell r="Z39" t="b">
            <v>0</v>
          </cell>
          <cell r="AA39">
            <v>46424</v>
          </cell>
          <cell r="AB39" t="str">
            <v>Sat</v>
          </cell>
          <cell r="AC39" t="str">
            <v>--</v>
          </cell>
          <cell r="AD39" t="str">
            <v>--</v>
          </cell>
          <cell r="AE39" t="b">
            <v>0</v>
          </cell>
          <cell r="AF39" t="b">
            <v>0</v>
          </cell>
          <cell r="AG39" t="b">
            <v>0</v>
          </cell>
          <cell r="AH39" t="str">
            <v>unknown</v>
          </cell>
          <cell r="AI39" t="str">
            <v/>
          </cell>
          <cell r="AJ39" t="str">
            <v/>
          </cell>
          <cell r="AK39">
            <v>30</v>
          </cell>
          <cell r="AL39" t="str">
            <v>--</v>
          </cell>
        </row>
        <row r="40">
          <cell r="C40">
            <v>9</v>
          </cell>
          <cell r="D40" t="str">
            <v>PROJ</v>
          </cell>
          <cell r="E40" t="str">
            <v>H1</v>
          </cell>
          <cell r="F40">
            <v>51</v>
          </cell>
          <cell r="G40" t="str">
            <v>Wk 51</v>
          </cell>
          <cell r="H40" t="str">
            <v>3:10</v>
          </cell>
          <cell r="I40" t="str">
            <v>350:351,450:451,550:551,650:651,750:751,850:851,950:951,1050:1051</v>
          </cell>
          <cell r="J40">
            <v>16</v>
          </cell>
          <cell r="K40" t="b">
            <v>0</v>
          </cell>
          <cell r="L40" t="str">
            <v>--</v>
          </cell>
          <cell r="M40" t="str">
            <v>--</v>
          </cell>
          <cell r="N40" t="str">
            <v>(12/14/26-12/20/26)</v>
          </cell>
          <cell r="O40" t="b">
            <v>0</v>
          </cell>
          <cell r="P40">
            <v>46373</v>
          </cell>
          <cell r="Q40">
            <v>5</v>
          </cell>
          <cell r="R40" t="b">
            <v>0</v>
          </cell>
          <cell r="S40">
            <v>46378</v>
          </cell>
          <cell r="T40" t="str">
            <v>--</v>
          </cell>
          <cell r="U40">
            <v>20</v>
          </cell>
          <cell r="V40" t="b">
            <v>0</v>
          </cell>
          <cell r="W40">
            <v>46398</v>
          </cell>
          <cell r="X40">
            <v>5</v>
          </cell>
          <cell r="Y40" t="b">
            <v>0</v>
          </cell>
          <cell r="Z40" t="b">
            <v>0</v>
          </cell>
          <cell r="AA40">
            <v>46403</v>
          </cell>
          <cell r="AB40"/>
          <cell r="AC40" t="str">
            <v>--</v>
          </cell>
          <cell r="AD40" t="str">
            <v>--</v>
          </cell>
          <cell r="AE40" t="b">
            <v>0</v>
          </cell>
          <cell r="AF40" t="b">
            <v>0</v>
          </cell>
          <cell r="AG40" t="b">
            <v>0</v>
          </cell>
          <cell r="AH40">
            <v>46384</v>
          </cell>
          <cell r="AI40" t="str">
            <v>+19 days</v>
          </cell>
          <cell r="AJ40">
            <v>19</v>
          </cell>
          <cell r="AK40">
            <v>30</v>
          </cell>
          <cell r="AL40" t="str">
            <v>--</v>
          </cell>
        </row>
        <row r="41">
          <cell r="C41"/>
          <cell r="D41"/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C41"/>
          <cell r="AD41"/>
          <cell r="AE41"/>
          <cell r="AF41"/>
          <cell r="AG41"/>
          <cell r="AH41"/>
          <cell r="AI41"/>
          <cell r="AJ41"/>
          <cell r="AK41"/>
          <cell r="AL41"/>
        </row>
        <row r="42">
          <cell r="C42"/>
          <cell r="D42"/>
          <cell r="E42"/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C42"/>
          <cell r="AD42"/>
          <cell r="AE42"/>
          <cell r="AF42"/>
          <cell r="AG42"/>
          <cell r="AH42"/>
          <cell r="AI42"/>
          <cell r="AJ42"/>
          <cell r="AK42"/>
          <cell r="AL42"/>
        </row>
      </sheetData>
      <sheetData sheetId="2"/>
      <sheetData sheetId="3">
        <row r="6">
          <cell r="D6">
            <v>46272</v>
          </cell>
        </row>
        <row r="7">
          <cell r="D7">
            <v>46300</v>
          </cell>
        </row>
        <row r="8">
          <cell r="D8">
            <v>46314</v>
          </cell>
        </row>
        <row r="9">
          <cell r="D9">
            <v>46328</v>
          </cell>
        </row>
        <row r="10">
          <cell r="D10">
            <v>46342</v>
          </cell>
        </row>
        <row r="11">
          <cell r="D11">
            <v>46356</v>
          </cell>
        </row>
        <row r="12">
          <cell r="D12">
            <v>46370</v>
          </cell>
        </row>
        <row r="13">
          <cell r="D13">
            <v>46384</v>
          </cell>
        </row>
        <row r="14">
          <cell r="D14">
            <v>46398</v>
          </cell>
        </row>
        <row r="15">
          <cell r="D15">
            <v>46412</v>
          </cell>
        </row>
        <row r="16">
          <cell r="D16">
            <v>46426</v>
          </cell>
        </row>
        <row r="17">
          <cell r="D17">
            <v>46440</v>
          </cell>
        </row>
        <row r="18">
          <cell r="D18">
            <v>46454</v>
          </cell>
        </row>
        <row r="19">
          <cell r="D19">
            <v>46468</v>
          </cell>
        </row>
        <row r="20">
          <cell r="D20">
            <v>46482</v>
          </cell>
        </row>
        <row r="21">
          <cell r="D21">
            <v>46496</v>
          </cell>
        </row>
        <row r="22">
          <cell r="D22">
            <v>46510</v>
          </cell>
        </row>
        <row r="23">
          <cell r="D23">
            <v>46524</v>
          </cell>
        </row>
        <row r="24">
          <cell r="D24">
            <v>46538</v>
          </cell>
        </row>
        <row r="25">
          <cell r="D25">
            <v>46552</v>
          </cell>
        </row>
        <row r="26">
          <cell r="D26">
            <v>46566</v>
          </cell>
        </row>
        <row r="27">
          <cell r="D27" t="str">
            <v>--</v>
          </cell>
        </row>
        <row r="28">
          <cell r="D28" t="str">
            <v>--</v>
          </cell>
        </row>
        <row r="29">
          <cell r="D29" t="str">
            <v>--</v>
          </cell>
        </row>
        <row r="30">
          <cell r="D30" t="str">
            <v>--</v>
          </cell>
        </row>
        <row r="31">
          <cell r="D31" t="str">
            <v>--</v>
          </cell>
        </row>
        <row r="32">
          <cell r="D32" t="str">
            <v>--</v>
          </cell>
        </row>
      </sheetData>
      <sheetData sheetId="4"/>
      <sheetData sheetId="5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Bahnschrift">
      <a:majorFont>
        <a:latin typeface="Bahnschrift"/>
        <a:ea typeface=""/>
        <a:cs typeface=""/>
      </a:majorFont>
      <a:minorFont>
        <a:latin typeface="Bahnschrif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  <wetp:taskpane dockstate="right" visibility="0" width="350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6CD7411-4D09-4AD2-B586-C5F79BE35206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88d6b59e-df56-40c5-b8da-dc2ac2d80d74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12FFD77B-6C64-448D-94E5-6741535056D0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8b61f0d5-46aa-48a1-9be0-e2408af98e3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1A4C2-FAAC-4455-B928-60CD42761527}">
  <sheetPr codeName="Sheet1">
    <tabColor theme="4" tint="-0.499984740745262"/>
  </sheetPr>
  <dimension ref="B1:Q59"/>
  <sheetViews>
    <sheetView showGridLines="0" zoomScale="110" zoomScaleNormal="110" workbookViewId="0">
      <selection activeCell="C15" sqref="C15"/>
    </sheetView>
  </sheetViews>
  <sheetFormatPr defaultRowHeight="14.25" x14ac:dyDescent="0.2"/>
  <cols>
    <col min="1" max="1" width="4" customWidth="1"/>
    <col min="2" max="2" width="20.109375" customWidth="1"/>
    <col min="3" max="3" width="10.21875" customWidth="1"/>
    <col min="4" max="4" width="17.21875" customWidth="1"/>
    <col min="5" max="6" width="11.44140625" customWidth="1"/>
    <col min="7" max="7" width="14.77734375" customWidth="1"/>
    <col min="8" max="8" width="14.33203125" customWidth="1"/>
    <col min="9" max="9" width="12.6640625" customWidth="1"/>
    <col min="10" max="10" width="6.21875" customWidth="1"/>
    <col min="12" max="12" width="5.77734375" customWidth="1"/>
    <col min="13" max="13" width="16.109375" customWidth="1"/>
    <col min="14" max="14" width="13.33203125" customWidth="1"/>
    <col min="15" max="15" width="16.21875" customWidth="1"/>
    <col min="16" max="16" width="20.33203125" customWidth="1"/>
  </cols>
  <sheetData>
    <row r="1" spans="2:15" ht="12" customHeight="1" x14ac:dyDescent="0.2"/>
    <row r="2" spans="2:15" ht="32.25" x14ac:dyDescent="0.4">
      <c r="B2" s="155" t="s">
        <v>82</v>
      </c>
      <c r="N2" s="346">
        <f ca="1">TODAY()</f>
        <v>46217</v>
      </c>
      <c r="O2" s="346"/>
    </row>
    <row r="3" spans="2:15" ht="18" customHeight="1" x14ac:dyDescent="0.2">
      <c r="B3" s="156" t="s">
        <v>81</v>
      </c>
      <c r="O3" s="157" t="str">
        <f ca="1" xml:space="preserve"> "WEEK " &amp;WEEKNUM(TODAY())</f>
        <v>WEEK 29</v>
      </c>
    </row>
    <row r="4" spans="2:15" ht="16.5" customHeight="1" x14ac:dyDescent="0.2"/>
    <row r="6" spans="2:15" ht="15.75" thickBot="1" x14ac:dyDescent="0.25">
      <c r="B6" s="201" t="s">
        <v>59</v>
      </c>
      <c r="D6" s="201" t="s">
        <v>60</v>
      </c>
      <c r="H6" s="201" t="s">
        <v>61</v>
      </c>
      <c r="I6" s="158"/>
      <c r="J6" s="158"/>
      <c r="L6" s="201" t="s">
        <v>62</v>
      </c>
      <c r="M6" s="158"/>
      <c r="O6" s="160" t="s">
        <v>63</v>
      </c>
    </row>
    <row r="7" spans="2:15" ht="26.25" thickTop="1" x14ac:dyDescent="0.35">
      <c r="B7" s="161">
        <f>COUNTIF('111 Wall_CTNR Schedule'!E8:E45,"&lt;&gt;")</f>
        <v>35</v>
      </c>
      <c r="D7" s="161">
        <f>SUMIF('111 Wall_CTNR Schedule'!D8:D45,"D", '111 Wall_CTNR Schedule'!J8:J45)</f>
        <v>0</v>
      </c>
      <c r="H7" s="159" t="s">
        <v>64</v>
      </c>
      <c r="I7" s="162" cm="1">
        <f t="array" ref="I7">SUMPRODUCT(--('111 Wall_CTNR Schedule'!D$8:D$45="PROJ"))</f>
        <v>33</v>
      </c>
      <c r="J7" s="163">
        <f t="shared" ref="J7:J12" si="0">SUM(I7)/SUM($I$7:$I$12)</f>
        <v>1</v>
      </c>
      <c r="L7" s="202" t="str" cm="1">
        <f t="array" aca="1" ref="L7:L16" ca="1">"- 111W CNT "&amp;'111 Wall_CTNR Schedule'!AR9:AR18&amp;"("&amp;'111 Wall_CTNR Schedule'!AY9:AY18&amp;") FL "&amp;'111 Wall_CTNR Schedule'!AU9:AU18&amp;"-"&amp;TEXT('111 Wall_CTNR Schedule'!BN9:BN18,"ddd mmm dd")&amp;"-"&amp;IF('111 Wall_CTNR Schedule'!BS9:BS18=FALSE,"ETA","Confirmed")</f>
        <v>- 111W CNT 1(--) FL 3-Sat Sep 05-ETA</v>
      </c>
      <c r="M7" s="164"/>
      <c r="O7" s="164"/>
    </row>
    <row r="8" spans="2:15" x14ac:dyDescent="0.2">
      <c r="B8" s="165" t="s">
        <v>101</v>
      </c>
      <c r="D8" s="165" t="str">
        <f>"Of "&amp;SUM('111 Wall_CTNR Schedule'!J8:J45) &amp; " Units"</f>
        <v>Of 622 Units</v>
      </c>
      <c r="H8" s="159" t="s">
        <v>65</v>
      </c>
      <c r="I8" s="162" cm="1">
        <f t="array" ref="I8">SUMPRODUCT(--('111 Wall_CTNR Schedule'!D$8:D$45="LDG"))</f>
        <v>0</v>
      </c>
      <c r="J8" s="163">
        <f t="shared" si="0"/>
        <v>0</v>
      </c>
      <c r="L8" s="203" t="str">
        <f ca="1"/>
        <v>- 111W CNT 2(--) FL 3-Sat Sep 05-ETA</v>
      </c>
      <c r="M8" s="166"/>
      <c r="O8" s="166"/>
    </row>
    <row r="9" spans="2:15" x14ac:dyDescent="0.2">
      <c r="H9" s="159" t="s">
        <v>36</v>
      </c>
      <c r="I9" s="162" cm="1">
        <f t="array" ref="I9">SUMPRODUCT(--('111 Wall_CTNR Schedule'!D$8:D$45="LDD"))</f>
        <v>0</v>
      </c>
      <c r="J9" s="163">
        <f t="shared" si="0"/>
        <v>0</v>
      </c>
      <c r="L9" s="203" t="str">
        <f ca="1"/>
        <v>- 111W CNT 3(--) FL 3,4-Sat Sep 05-ETA</v>
      </c>
      <c r="M9" s="166"/>
      <c r="O9" s="166"/>
    </row>
    <row r="10" spans="2:15" ht="14.25" customHeight="1" x14ac:dyDescent="0.2">
      <c r="H10" s="159" t="s">
        <v>66</v>
      </c>
      <c r="I10" s="162" cm="1">
        <f t="array" ref="I10">SUMPRODUCT(--('111 Wall_CTNR Schedule'!D$8:D$45="ENR"))</f>
        <v>0</v>
      </c>
      <c r="J10" s="163">
        <f t="shared" si="0"/>
        <v>0</v>
      </c>
      <c r="L10" s="203" t="str">
        <f ca="1"/>
        <v>- 111W CNT 4(--) FL 4-Sat Oct 10-ETA</v>
      </c>
      <c r="M10" s="166"/>
      <c r="O10" s="166"/>
    </row>
    <row r="11" spans="2:15" ht="15.75" thickBot="1" x14ac:dyDescent="0.25">
      <c r="B11" s="201" t="s">
        <v>67</v>
      </c>
      <c r="C11" s="158"/>
      <c r="D11" s="158"/>
      <c r="H11" s="159" t="s">
        <v>84</v>
      </c>
      <c r="I11" s="162" cm="1">
        <f t="array" ref="I11">SUMPRODUCT(--('111 Wall_CTNR Schedule'!D$8:D$45="INPRT"))</f>
        <v>0</v>
      </c>
      <c r="J11" s="163">
        <f t="shared" si="0"/>
        <v>0</v>
      </c>
      <c r="L11" s="203" t="str">
        <f ca="1"/>
        <v>- 111W CNT 5(--) FL 4-Sat Oct 10-ETA</v>
      </c>
      <c r="M11" s="166"/>
      <c r="O11" s="166"/>
    </row>
    <row r="12" spans="2:15" ht="15" thickTop="1" x14ac:dyDescent="0.2">
      <c r="B12" t="s">
        <v>68</v>
      </c>
      <c r="D12" s="162">
        <f>AVERAGE('111 Wall_CTNR Schedule'!Q8:Q40)</f>
        <v>5</v>
      </c>
      <c r="H12" s="159" t="s">
        <v>47</v>
      </c>
      <c r="I12" s="162" cm="1">
        <f t="array" ref="I12">SUMPRODUCT(--('111 Wall_CTNR Schedule'!D$8:D$45="D"))</f>
        <v>0</v>
      </c>
      <c r="J12" s="163">
        <f t="shared" si="0"/>
        <v>0</v>
      </c>
      <c r="L12" s="203" t="str">
        <f ca="1"/>
        <v>- 111W CNT 6(--) FL 4,5-Sat Oct 17-ETA</v>
      </c>
      <c r="M12" s="166"/>
      <c r="O12" s="166"/>
    </row>
    <row r="13" spans="2:15" x14ac:dyDescent="0.2">
      <c r="B13" t="s">
        <v>83</v>
      </c>
      <c r="D13" s="253">
        <f>AVERAGE('111 Wall_CTNR Schedule'!U8:U40)</f>
        <v>20</v>
      </c>
      <c r="L13" s="203" t="str">
        <f ca="1"/>
        <v>- 111W CNT 7(--) FL 5-Sat Oct 17-ETA</v>
      </c>
      <c r="M13" s="166"/>
      <c r="O13" s="166"/>
    </row>
    <row r="14" spans="2:15" x14ac:dyDescent="0.2">
      <c r="B14" t="s">
        <v>69</v>
      </c>
      <c r="D14" s="253">
        <f>AVERAGE('111 Wall_CTNR Schedule'!X8:X45)</f>
        <v>4.7142857142857144</v>
      </c>
      <c r="L14" s="203" t="str">
        <f ca="1"/>
        <v>- 111W CNT 8(--) FL 5-Sat Oct 24-ETA</v>
      </c>
      <c r="M14" s="166"/>
      <c r="O14" s="166"/>
    </row>
    <row r="15" spans="2:15" x14ac:dyDescent="0.2">
      <c r="B15" t="s">
        <v>70</v>
      </c>
      <c r="D15" s="254">
        <f>SUM(D12:D14)</f>
        <v>29.714285714285715</v>
      </c>
      <c r="L15" s="204" t="str">
        <f ca="1"/>
        <v>- 111W CNT 9(--) FL 5-Sat Oct 24-ETA</v>
      </c>
      <c r="M15" s="167"/>
      <c r="O15" s="167"/>
    </row>
    <row r="16" spans="2:15" x14ac:dyDescent="0.2">
      <c r="D16" s="168"/>
      <c r="L16" s="204" t="str">
        <f ca="1"/>
        <v>- 111W CNT 10(--) FL 5,6-Sat Oct 31-ETA</v>
      </c>
      <c r="M16" s="167"/>
      <c r="O16" s="167"/>
    </row>
    <row r="18" spans="2:17" ht="8.25" customHeight="1" x14ac:dyDescent="0.2"/>
    <row r="19" spans="2:17" ht="18.75" customHeight="1" thickBot="1" x14ac:dyDescent="0.25">
      <c r="B19" s="205" t="s">
        <v>71</v>
      </c>
      <c r="C19" s="158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97"/>
      <c r="Q19" s="197"/>
    </row>
    <row r="20" spans="2:17" ht="18.75" customHeight="1" thickTop="1" x14ac:dyDescent="0.2">
      <c r="B20" s="169" t="s">
        <v>72</v>
      </c>
      <c r="C20" s="170" t="s">
        <v>73</v>
      </c>
      <c r="D20" s="170" t="s">
        <v>74</v>
      </c>
      <c r="E20" s="170" t="s">
        <v>75</v>
      </c>
      <c r="F20" s="171" t="s">
        <v>76</v>
      </c>
      <c r="G20" s="172" t="s">
        <v>85</v>
      </c>
      <c r="H20" s="173" t="s">
        <v>77</v>
      </c>
      <c r="I20" s="174" t="s">
        <v>78</v>
      </c>
      <c r="J20" s="175" t="s">
        <v>79</v>
      </c>
      <c r="K20" s="171" t="s">
        <v>80</v>
      </c>
      <c r="L20" s="176"/>
      <c r="M20" s="175" t="s">
        <v>94</v>
      </c>
      <c r="N20" s="175" t="s">
        <v>100</v>
      </c>
      <c r="O20" s="175"/>
      <c r="P20" s="175"/>
    </row>
    <row r="21" spans="2:17" ht="12.75" customHeight="1" thickBot="1" x14ac:dyDescent="0.25">
      <c r="B21" s="291" t="s">
        <v>99</v>
      </c>
      <c r="C21" s="170"/>
      <c r="D21" s="170"/>
      <c r="E21" s="170"/>
      <c r="F21" s="171"/>
      <c r="G21" s="172"/>
      <c r="H21" s="173"/>
      <c r="I21" s="177"/>
      <c r="J21" s="175"/>
      <c r="K21" s="171"/>
      <c r="L21" s="176"/>
      <c r="M21" s="175"/>
      <c r="N21" s="176"/>
      <c r="O21" s="175"/>
      <c r="P21" s="175"/>
    </row>
    <row r="22" spans="2:17" ht="20.100000000000001" customHeight="1" x14ac:dyDescent="0.2">
      <c r="B22" s="264" t="str" cm="1">
        <f t="array" ref="B22:B59">"CTN " &amp; '111 Wall_CTNR Schedule'!E8:E45</f>
        <v>CTN 1</v>
      </c>
      <c r="C22" s="265" t="str" cm="1">
        <f t="array" ref="C22:C59">'111 Wall_CTNR Schedule'!D8:D45</f>
        <v>PROJ</v>
      </c>
      <c r="D22" s="266" t="str" cm="1">
        <f t="array" ref="D22:D59">'111 Wall_CTNR Schedule'!L8:L45</f>
        <v>--</v>
      </c>
      <c r="E22" s="267" t="str" cm="1">
        <f t="array" ref="E22:E59">"Wk " &amp;'111 Wall_CTNR Schedule'!F8:F45</f>
        <v>Wk 32</v>
      </c>
      <c r="F22" s="268" cm="1">
        <f t="array" ref="F22:F59" xml:space="preserve"> '111 Wall_CTNR Schedule'!P8:P45</f>
        <v>46240</v>
      </c>
      <c r="G22" s="268" cm="1">
        <f t="array" ref="G22:G59">'111 Wall_CTNR Schedule'!W8:W45</f>
        <v>46265</v>
      </c>
      <c r="H22" s="269" t="str" cm="1">
        <f t="array" ref="H22:H59">TEXT('111 Wall_CTNR Schedule'!AA8:AA45,"ddd mmm dd")</f>
        <v>Sat Sep 05</v>
      </c>
      <c r="I22" s="270" t="str" cm="1">
        <f t="array" ref="I22:I59">IF('111 Wall_CTNR Schedule'!AF8:AF45=FALSE,"ETA",IF('111 Wall_CTNR Schedule'!AF8:AF45=TRUE,"Confirmed"))</f>
        <v>ETA</v>
      </c>
      <c r="J22" s="271" t="str" cm="1">
        <f t="array" ref="J22:J59">"FL " &amp; '111 Wall_CTNR Schedule'!H8:H45</f>
        <v>FL 3</v>
      </c>
      <c r="K22" s="272" t="str" cm="1">
        <f t="array" ref="K22:K59" xml:space="preserve"> '111 Wall_CTNR Schedule'!J8:J45&amp; "x"</f>
        <v>20x</v>
      </c>
      <c r="L22" s="273"/>
      <c r="M22" s="274" t="str" cm="1">
        <f t="array" ref="M22:M59" xml:space="preserve"> '111 Wall_CTNR Schedule'!I8:I45</f>
        <v>301:313,315:321</v>
      </c>
      <c r="N22" s="275" cm="1">
        <f t="array" ref="N22:N59" xml:space="preserve"> '111 Wall_CTNR Schedule'!AK8:AK45</f>
        <v>30</v>
      </c>
      <c r="O22" s="292"/>
      <c r="P22" s="197"/>
    </row>
    <row r="23" spans="2:17" ht="20.100000000000001" customHeight="1" x14ac:dyDescent="0.2">
      <c r="B23" s="276" t="str">
        <v>CTN 2</v>
      </c>
      <c r="C23" s="206" t="str">
        <v>PROJ</v>
      </c>
      <c r="D23" s="211" t="str">
        <v>--</v>
      </c>
      <c r="E23" s="207" t="str">
        <v>Wk 32</v>
      </c>
      <c r="F23" s="208">
        <v>46240</v>
      </c>
      <c r="G23" s="208">
        <v>46265</v>
      </c>
      <c r="H23" s="226" t="str">
        <v>Sat Sep 05</v>
      </c>
      <c r="I23" s="255" t="str">
        <v>ETA</v>
      </c>
      <c r="J23" s="209" t="str">
        <v>FL 3</v>
      </c>
      <c r="K23" s="212" t="str">
        <v>20x</v>
      </c>
      <c r="L23" s="213"/>
      <c r="M23" s="214" t="str">
        <v>322:333,335:342</v>
      </c>
      <c r="N23" s="215">
        <v>30</v>
      </c>
      <c r="O23" s="293"/>
      <c r="P23" s="198"/>
    </row>
    <row r="24" spans="2:17" ht="20.100000000000001" customHeight="1" x14ac:dyDescent="0.2">
      <c r="B24" s="277" t="str">
        <v>CTN 3</v>
      </c>
      <c r="C24" s="216" t="str">
        <v>PROJ</v>
      </c>
      <c r="D24" s="217" t="str">
        <v>--</v>
      </c>
      <c r="E24" s="218" t="str">
        <v>Wk 32</v>
      </c>
      <c r="F24" s="219">
        <v>46240</v>
      </c>
      <c r="G24" s="219">
        <v>46265</v>
      </c>
      <c r="H24" s="227" t="str">
        <v>Sat Sep 05</v>
      </c>
      <c r="I24" s="256" t="str">
        <v>ETA</v>
      </c>
      <c r="J24" s="220" t="str">
        <v>FL 3,4</v>
      </c>
      <c r="K24" s="221" t="str">
        <v>20x</v>
      </c>
      <c r="L24" s="222"/>
      <c r="M24" s="223" t="str">
        <v>343:349,352:354,356:358,401:407</v>
      </c>
      <c r="N24" s="224">
        <v>30</v>
      </c>
      <c r="O24" s="294"/>
      <c r="P24" s="198"/>
    </row>
    <row r="25" spans="2:17" ht="20.100000000000001" customHeight="1" x14ac:dyDescent="0.2">
      <c r="B25" s="276" t="str">
        <v>CTN 4</v>
      </c>
      <c r="C25" s="206" t="str">
        <v>PROJ</v>
      </c>
      <c r="D25" s="211" t="str">
        <v>--</v>
      </c>
      <c r="E25" s="207" t="str">
        <v>Wk 37</v>
      </c>
      <c r="F25" s="208">
        <v>46275</v>
      </c>
      <c r="G25" s="208">
        <v>46300</v>
      </c>
      <c r="H25" s="226" t="str">
        <v>Sat Oct 10</v>
      </c>
      <c r="I25" s="255" t="str">
        <v>ETA</v>
      </c>
      <c r="J25" s="209" t="str">
        <v>FL 4</v>
      </c>
      <c r="K25" s="212" t="str">
        <v>18x</v>
      </c>
      <c r="L25" s="213"/>
      <c r="M25" s="214" t="str">
        <v>408:425</v>
      </c>
      <c r="N25" s="215">
        <v>30</v>
      </c>
      <c r="O25" s="293"/>
      <c r="P25" s="198"/>
    </row>
    <row r="26" spans="2:17" ht="20.100000000000001" customHeight="1" thickBot="1" x14ac:dyDescent="0.25">
      <c r="B26" s="278" t="str">
        <v>CTN 5</v>
      </c>
      <c r="C26" s="279" t="str">
        <v>PROJ</v>
      </c>
      <c r="D26" s="280" t="str">
        <v>--</v>
      </c>
      <c r="E26" s="281" t="str">
        <v>Wk 37</v>
      </c>
      <c r="F26" s="282">
        <v>46275</v>
      </c>
      <c r="G26" s="282">
        <v>46300</v>
      </c>
      <c r="H26" s="283" t="str">
        <v>Sat Oct 10</v>
      </c>
      <c r="I26" s="284" t="str">
        <v>ETA</v>
      </c>
      <c r="J26" s="285" t="str">
        <v>FL 4</v>
      </c>
      <c r="K26" s="286" t="str">
        <v>18x</v>
      </c>
      <c r="L26" s="287"/>
      <c r="M26" s="288" t="str">
        <v>426:443</v>
      </c>
      <c r="N26" s="289">
        <v>30</v>
      </c>
      <c r="O26" s="290"/>
      <c r="P26" s="198"/>
    </row>
    <row r="27" spans="2:17" ht="20.100000000000001" customHeight="1" x14ac:dyDescent="0.2">
      <c r="B27" s="171" t="str">
        <v>CTN 6</v>
      </c>
      <c r="C27" s="180" t="str">
        <v>PROJ</v>
      </c>
      <c r="D27" s="171" t="str">
        <v>--</v>
      </c>
      <c r="E27" s="183" t="str">
        <v>Wk 38</v>
      </c>
      <c r="F27" s="186">
        <v>46282</v>
      </c>
      <c r="G27" s="186">
        <v>46307</v>
      </c>
      <c r="H27" s="189" t="str">
        <v>Sat Oct 17</v>
      </c>
      <c r="I27" s="191" t="str">
        <v>ETA</v>
      </c>
      <c r="J27" s="193" t="str">
        <v>FL 4,5</v>
      </c>
      <c r="K27" s="210" t="str">
        <v>16x</v>
      </c>
      <c r="L27" s="196"/>
      <c r="M27" s="198" t="str">
        <v>444:449,452:458,501:503</v>
      </c>
      <c r="N27" s="198">
        <v>30</v>
      </c>
      <c r="O27" s="199"/>
      <c r="P27" s="198"/>
    </row>
    <row r="28" spans="2:17" x14ac:dyDescent="0.2">
      <c r="B28" s="171" t="str">
        <v>CTN 7</v>
      </c>
      <c r="C28" s="180" t="str">
        <v>PROJ</v>
      </c>
      <c r="D28" s="171" t="str">
        <v>--</v>
      </c>
      <c r="E28" s="183" t="str">
        <v>Wk 38</v>
      </c>
      <c r="F28" s="187">
        <v>46282</v>
      </c>
      <c r="G28" s="187">
        <v>46307</v>
      </c>
      <c r="H28" s="190" t="str">
        <v>Sat Oct 17</v>
      </c>
      <c r="I28" s="192" t="str">
        <v>ETA</v>
      </c>
      <c r="J28" s="194" t="str">
        <v>FL 5</v>
      </c>
      <c r="K28" s="195" t="str">
        <v>18x</v>
      </c>
      <c r="L28" s="176"/>
      <c r="M28" s="199" t="str">
        <v>504:521</v>
      </c>
      <c r="N28" s="199">
        <v>30</v>
      </c>
      <c r="O28" s="199"/>
      <c r="P28" s="199"/>
    </row>
    <row r="29" spans="2:17" x14ac:dyDescent="0.2">
      <c r="B29" s="178" t="str">
        <v>CTN 8</v>
      </c>
      <c r="C29" s="181" t="str">
        <v>PROJ</v>
      </c>
      <c r="D29" s="178" t="str">
        <v>--</v>
      </c>
      <c r="E29" s="184" t="str">
        <v>Wk 39</v>
      </c>
      <c r="F29" s="187">
        <v>46289</v>
      </c>
      <c r="G29" s="187">
        <v>46314</v>
      </c>
      <c r="H29" s="190" t="str">
        <v>Sat Oct 24</v>
      </c>
      <c r="I29" s="192" t="str">
        <v>ETA</v>
      </c>
      <c r="J29" s="194" t="str">
        <v>FL 5</v>
      </c>
      <c r="K29" s="195" t="str">
        <v>18x</v>
      </c>
      <c r="L29" s="176"/>
      <c r="M29" s="199" t="str">
        <v>522:539</v>
      </c>
      <c r="N29" s="199">
        <v>30</v>
      </c>
      <c r="O29" s="199"/>
      <c r="P29" s="199"/>
    </row>
    <row r="30" spans="2:17" x14ac:dyDescent="0.2">
      <c r="B30" s="178" t="str">
        <v>CTN 9</v>
      </c>
      <c r="C30" s="181" t="str">
        <v>PROJ</v>
      </c>
      <c r="D30" s="178" t="str">
        <v>--</v>
      </c>
      <c r="E30" s="184" t="str">
        <v>Wk 39</v>
      </c>
      <c r="F30" s="187">
        <v>46289</v>
      </c>
      <c r="G30" s="187">
        <v>46314</v>
      </c>
      <c r="H30" s="190" t="str">
        <v>Sat Oct 24</v>
      </c>
      <c r="I30" s="192" t="str">
        <v>ETA</v>
      </c>
      <c r="J30" s="194" t="str">
        <v>FL 5</v>
      </c>
      <c r="K30" s="195" t="str">
        <v>16x</v>
      </c>
      <c r="L30" s="176"/>
      <c r="M30" s="199" t="str">
        <v>540:549,552:557</v>
      </c>
      <c r="N30" s="199">
        <v>30</v>
      </c>
      <c r="O30" s="199"/>
      <c r="P30" s="199"/>
    </row>
    <row r="31" spans="2:17" x14ac:dyDescent="0.2">
      <c r="B31" s="178" t="str">
        <v>CTN 10</v>
      </c>
      <c r="C31" s="181" t="str">
        <v>PROJ</v>
      </c>
      <c r="D31" s="178" t="str">
        <v>--</v>
      </c>
      <c r="E31" s="184" t="str">
        <v>Wk 40</v>
      </c>
      <c r="F31" s="187">
        <v>46296</v>
      </c>
      <c r="G31" s="187">
        <v>46321</v>
      </c>
      <c r="H31" s="190" t="str">
        <v>Sat Oct 31</v>
      </c>
      <c r="I31" s="192" t="str">
        <v>ETA</v>
      </c>
      <c r="J31" s="194" t="str">
        <v>FL 5,6</v>
      </c>
      <c r="K31" s="195" t="str">
        <v>18x</v>
      </c>
      <c r="L31" s="176"/>
      <c r="M31" s="199" t="str">
        <v>558,601:617</v>
      </c>
      <c r="N31" s="199">
        <v>30</v>
      </c>
      <c r="O31" s="199"/>
      <c r="P31" s="199"/>
    </row>
    <row r="32" spans="2:17" x14ac:dyDescent="0.2">
      <c r="B32" s="178" t="str">
        <v>CTN 11</v>
      </c>
      <c r="C32" s="181" t="str">
        <v>PROJ</v>
      </c>
      <c r="D32" s="178" t="str">
        <v>--</v>
      </c>
      <c r="E32" s="184" t="str">
        <v>Wk 40</v>
      </c>
      <c r="F32" s="187">
        <v>46296</v>
      </c>
      <c r="G32" s="187">
        <v>46321</v>
      </c>
      <c r="H32" s="190" t="str">
        <v>Sat Oct 31</v>
      </c>
      <c r="I32" s="192" t="str">
        <v>ETA</v>
      </c>
      <c r="J32" s="194" t="str">
        <v>FL 6</v>
      </c>
      <c r="K32" s="195" t="str">
        <v>18x</v>
      </c>
      <c r="L32" s="176"/>
      <c r="M32" s="199" t="str">
        <v>618:635</v>
      </c>
      <c r="N32" s="199">
        <v>30</v>
      </c>
      <c r="O32" s="199"/>
      <c r="P32" s="199"/>
    </row>
    <row r="33" spans="2:16" x14ac:dyDescent="0.2">
      <c r="B33" s="178" t="str">
        <v>CTN 12</v>
      </c>
      <c r="C33" s="181" t="str">
        <v>PROJ</v>
      </c>
      <c r="D33" s="178" t="str">
        <v>--</v>
      </c>
      <c r="E33" s="184" t="str">
        <v>Wk 41</v>
      </c>
      <c r="F33" s="187">
        <v>46303</v>
      </c>
      <c r="G33" s="187">
        <v>46328</v>
      </c>
      <c r="H33" s="190" t="str">
        <v>Sat Nov 07</v>
      </c>
      <c r="I33" s="192" t="str">
        <v>ETA</v>
      </c>
      <c r="J33" s="194" t="str">
        <v>FL 6</v>
      </c>
      <c r="K33" s="195" t="str">
        <v>16x</v>
      </c>
      <c r="L33" s="176"/>
      <c r="M33" s="199" t="str">
        <v>636:649,652:653</v>
      </c>
      <c r="N33" s="199">
        <v>30</v>
      </c>
      <c r="O33" s="199"/>
      <c r="P33" s="199"/>
    </row>
    <row r="34" spans="2:16" x14ac:dyDescent="0.2">
      <c r="B34" s="178" t="str">
        <v>CTN 13</v>
      </c>
      <c r="C34" s="181" t="str">
        <v>PROJ</v>
      </c>
      <c r="D34" s="178" t="str">
        <v>--</v>
      </c>
      <c r="E34" s="184" t="str">
        <v>Wk 41</v>
      </c>
      <c r="F34" s="187">
        <v>46303</v>
      </c>
      <c r="G34" s="187">
        <v>46328</v>
      </c>
      <c r="H34" s="190" t="str">
        <v>Sat Nov 07</v>
      </c>
      <c r="I34" s="192" t="str">
        <v>ETA</v>
      </c>
      <c r="J34" s="194" t="str">
        <v>FL 6,7</v>
      </c>
      <c r="K34" s="195" t="str">
        <v>18x</v>
      </c>
      <c r="L34" s="176"/>
      <c r="M34" s="199" t="str">
        <v>654:658,701:713</v>
      </c>
      <c r="N34" s="199">
        <v>30</v>
      </c>
      <c r="O34" s="199"/>
      <c r="P34" s="199"/>
    </row>
    <row r="35" spans="2:16" x14ac:dyDescent="0.2">
      <c r="B35" s="178" t="str">
        <v>CTN 14</v>
      </c>
      <c r="C35" s="181" t="str">
        <v>PROJ</v>
      </c>
      <c r="D35" s="178" t="str">
        <v>--</v>
      </c>
      <c r="E35" s="184" t="str">
        <v>Wk 42</v>
      </c>
      <c r="F35" s="187">
        <v>46310</v>
      </c>
      <c r="G35" s="187">
        <v>46335</v>
      </c>
      <c r="H35" s="190" t="str">
        <v>Sat Nov 14</v>
      </c>
      <c r="I35" s="192" t="str">
        <v>ETA</v>
      </c>
      <c r="J35" s="194" t="str">
        <v>FL 7</v>
      </c>
      <c r="K35" s="195" t="str">
        <v>18x</v>
      </c>
      <c r="L35" s="176"/>
      <c r="M35" s="199" t="str">
        <v>714:731</v>
      </c>
      <c r="N35" s="199">
        <v>30</v>
      </c>
      <c r="O35" s="199"/>
      <c r="P35" s="199"/>
    </row>
    <row r="36" spans="2:16" x14ac:dyDescent="0.2">
      <c r="B36" s="178" t="str">
        <v>CTN 15</v>
      </c>
      <c r="C36" s="181" t="str">
        <v>PROJ</v>
      </c>
      <c r="D36" s="178" t="str">
        <v>--</v>
      </c>
      <c r="E36" s="184" t="str">
        <v>Wk 42</v>
      </c>
      <c r="F36" s="187">
        <v>46310</v>
      </c>
      <c r="G36" s="187">
        <v>46335</v>
      </c>
      <c r="H36" s="190" t="str">
        <v>Sat Nov 14</v>
      </c>
      <c r="I36" s="192" t="str">
        <v>ETA</v>
      </c>
      <c r="J36" s="194" t="str">
        <v>FL 7</v>
      </c>
      <c r="K36" s="195" t="str">
        <v>18x</v>
      </c>
      <c r="L36" s="176"/>
      <c r="M36" s="199" t="str">
        <v>732:749</v>
      </c>
      <c r="N36" s="199">
        <v>30</v>
      </c>
      <c r="O36" s="199"/>
      <c r="P36" s="199"/>
    </row>
    <row r="37" spans="2:16" x14ac:dyDescent="0.2">
      <c r="B37" s="178" t="str">
        <v>CTN 16</v>
      </c>
      <c r="C37" s="181" t="str">
        <v>PROJ</v>
      </c>
      <c r="D37" s="178" t="str">
        <v>--</v>
      </c>
      <c r="E37" s="184" t="str">
        <v>Wk 43</v>
      </c>
      <c r="F37" s="187">
        <v>46317</v>
      </c>
      <c r="G37" s="187">
        <v>46342</v>
      </c>
      <c r="H37" s="190" t="str">
        <v>Sat Nov 21</v>
      </c>
      <c r="I37" s="192" t="str">
        <v>ETA</v>
      </c>
      <c r="J37" s="194" t="str">
        <v>FL 7,8</v>
      </c>
      <c r="K37" s="195" t="str">
        <v>16x</v>
      </c>
      <c r="L37" s="176"/>
      <c r="M37" s="199" t="str">
        <v>752:758,801:809</v>
      </c>
      <c r="N37" s="199">
        <v>30</v>
      </c>
      <c r="O37" s="199"/>
      <c r="P37" s="199"/>
    </row>
    <row r="38" spans="2:16" x14ac:dyDescent="0.2">
      <c r="B38" s="178" t="str">
        <v>CTN 17</v>
      </c>
      <c r="C38" s="181" t="str">
        <v>PROJ</v>
      </c>
      <c r="D38" s="178" t="str">
        <v>--</v>
      </c>
      <c r="E38" s="184" t="str">
        <v>Wk 44</v>
      </c>
      <c r="F38" s="187">
        <v>46324</v>
      </c>
      <c r="G38" s="187">
        <v>46349</v>
      </c>
      <c r="H38" s="190" t="str">
        <v>Sat Nov 28</v>
      </c>
      <c r="I38" s="192" t="str">
        <v>ETA</v>
      </c>
      <c r="J38" s="194" t="str">
        <v>FL 8</v>
      </c>
      <c r="K38" s="195" t="str">
        <v>18x</v>
      </c>
      <c r="L38" s="176"/>
      <c r="M38" s="199" t="str">
        <v>810:827</v>
      </c>
      <c r="N38" s="199">
        <v>30</v>
      </c>
      <c r="O38" s="199"/>
      <c r="P38" s="199"/>
    </row>
    <row r="39" spans="2:16" x14ac:dyDescent="0.2">
      <c r="B39" s="178" t="str">
        <v>CTN 18</v>
      </c>
      <c r="C39" s="181" t="str">
        <v>PROJ</v>
      </c>
      <c r="D39" s="178" t="str">
        <v>--</v>
      </c>
      <c r="E39" s="184" t="str">
        <v>Wk 44</v>
      </c>
      <c r="F39" s="187">
        <v>46324</v>
      </c>
      <c r="G39" s="187">
        <v>46349</v>
      </c>
      <c r="H39" s="190" t="str">
        <v>Sat Nov 28</v>
      </c>
      <c r="I39" s="192" t="str">
        <v>ETA</v>
      </c>
      <c r="J39" s="194" t="str">
        <v>FL 8</v>
      </c>
      <c r="K39" s="195" t="str">
        <v>18x</v>
      </c>
      <c r="L39" s="176"/>
      <c r="M39" s="199" t="str">
        <v>828:845</v>
      </c>
      <c r="N39" s="199">
        <v>30</v>
      </c>
      <c r="O39" s="199"/>
      <c r="P39" s="199"/>
    </row>
    <row r="40" spans="2:16" x14ac:dyDescent="0.2">
      <c r="B40" s="178" t="str">
        <v>CTN 19</v>
      </c>
      <c r="C40" s="181" t="str">
        <v>PROJ</v>
      </c>
      <c r="D40" s="178" t="str">
        <v>--</v>
      </c>
      <c r="E40" s="184" t="str">
        <v>Wk 45</v>
      </c>
      <c r="F40" s="187">
        <v>46331</v>
      </c>
      <c r="G40" s="187">
        <v>46356</v>
      </c>
      <c r="H40" s="190" t="str">
        <v>Sat Dec 05</v>
      </c>
      <c r="I40" s="192" t="str">
        <v>ETA</v>
      </c>
      <c r="J40" s="194" t="str">
        <v>FL 8,9</v>
      </c>
      <c r="K40" s="195" t="str">
        <v>16x</v>
      </c>
      <c r="L40" s="176"/>
      <c r="M40" s="199" t="str">
        <v>846:849,852:858,901:905</v>
      </c>
      <c r="N40" s="199">
        <v>30</v>
      </c>
      <c r="O40" s="199"/>
      <c r="P40" s="199"/>
    </row>
    <row r="41" spans="2:16" x14ac:dyDescent="0.2">
      <c r="B41" s="178" t="str">
        <v>CTN 20</v>
      </c>
      <c r="C41" s="181" t="str">
        <v>PROJ</v>
      </c>
      <c r="D41" s="178" t="str">
        <v>--</v>
      </c>
      <c r="E41" s="184" t="str">
        <v>Wk 46</v>
      </c>
      <c r="F41" s="187">
        <v>46338</v>
      </c>
      <c r="G41" s="187">
        <v>46363</v>
      </c>
      <c r="H41" s="190" t="str">
        <v>Sat Dec 12</v>
      </c>
      <c r="I41" s="192" t="str">
        <v>ETA</v>
      </c>
      <c r="J41" s="194" t="str">
        <v>FL 9</v>
      </c>
      <c r="K41" s="195" t="str">
        <v>18x</v>
      </c>
      <c r="L41" s="176"/>
      <c r="M41" s="199" t="str">
        <v>906:923</v>
      </c>
      <c r="N41" s="199">
        <v>30</v>
      </c>
      <c r="O41" s="199"/>
      <c r="P41" s="199"/>
    </row>
    <row r="42" spans="2:16" x14ac:dyDescent="0.2">
      <c r="B42" s="178" t="str">
        <v>CTN 21</v>
      </c>
      <c r="C42" s="181" t="str">
        <v>PROJ</v>
      </c>
      <c r="D42" s="178" t="str">
        <v>--</v>
      </c>
      <c r="E42" s="184" t="str">
        <v>Wk 46</v>
      </c>
      <c r="F42" s="187">
        <v>46338</v>
      </c>
      <c r="G42" s="187">
        <v>46363</v>
      </c>
      <c r="H42" s="190" t="str">
        <v>Sat Dec 12</v>
      </c>
      <c r="I42" s="192" t="str">
        <v>ETA</v>
      </c>
      <c r="J42" s="194" t="str">
        <v>FL 9</v>
      </c>
      <c r="K42" s="195" t="str">
        <v>18x</v>
      </c>
      <c r="L42" s="176"/>
      <c r="M42" s="199" t="str">
        <v>924:941</v>
      </c>
      <c r="N42" s="199">
        <v>30</v>
      </c>
      <c r="O42" s="199"/>
      <c r="P42" s="199"/>
    </row>
    <row r="43" spans="2:16" x14ac:dyDescent="0.2">
      <c r="B43" s="178" t="str">
        <v>CTN 22</v>
      </c>
      <c r="C43" s="181" t="str">
        <v>PROJ</v>
      </c>
      <c r="D43" s="178" t="str">
        <v>--</v>
      </c>
      <c r="E43" s="184" t="str">
        <v>Wk 47</v>
      </c>
      <c r="F43" s="187">
        <v>46345</v>
      </c>
      <c r="G43" s="187">
        <v>46370</v>
      </c>
      <c r="H43" s="190" t="str">
        <v>Sat Dec 19</v>
      </c>
      <c r="I43" s="192" t="str">
        <v>ETA</v>
      </c>
      <c r="J43" s="194" t="str">
        <v>FL 9,10</v>
      </c>
      <c r="K43" s="195" t="str">
        <v>16x</v>
      </c>
      <c r="L43" s="176"/>
      <c r="M43" s="199" t="str">
        <v>942:949,952:958,1001</v>
      </c>
      <c r="N43" s="199">
        <v>30</v>
      </c>
      <c r="O43" s="199"/>
      <c r="P43" s="199"/>
    </row>
    <row r="44" spans="2:16" x14ac:dyDescent="0.2">
      <c r="B44" s="178" t="str">
        <v>CTN 23</v>
      </c>
      <c r="C44" s="181" t="str">
        <v>PROJ</v>
      </c>
      <c r="D44" s="178" t="str">
        <v>--</v>
      </c>
      <c r="E44" s="184" t="str">
        <v>Wk 47</v>
      </c>
      <c r="F44" s="187">
        <v>46345</v>
      </c>
      <c r="G44" s="187">
        <v>46370</v>
      </c>
      <c r="H44" s="190" t="str">
        <v>Sat Dec 19</v>
      </c>
      <c r="I44" s="192" t="str">
        <v>ETA</v>
      </c>
      <c r="J44" s="194" t="str">
        <v>FL 10</v>
      </c>
      <c r="K44" s="195" t="str">
        <v>18x</v>
      </c>
      <c r="L44" s="176"/>
      <c r="M44" s="199" t="str">
        <v>1002:1019</v>
      </c>
      <c r="N44" s="199">
        <v>30</v>
      </c>
      <c r="O44" s="199"/>
      <c r="P44" s="199"/>
    </row>
    <row r="45" spans="2:16" x14ac:dyDescent="0.2">
      <c r="B45" s="178" t="str">
        <v>CTN 24</v>
      </c>
      <c r="C45" s="181" t="str">
        <v>PROJ</v>
      </c>
      <c r="D45" s="178" t="str">
        <v>--</v>
      </c>
      <c r="E45" s="184" t="str">
        <v>Wk 48</v>
      </c>
      <c r="F45" s="187">
        <v>46352</v>
      </c>
      <c r="G45" s="187">
        <v>46377</v>
      </c>
      <c r="H45" s="190" t="str">
        <v>Sat Dec 26</v>
      </c>
      <c r="I45" s="192" t="str">
        <v>ETA</v>
      </c>
      <c r="J45" s="194" t="str">
        <v>FL 10</v>
      </c>
      <c r="K45" s="195" t="str">
        <v>18x</v>
      </c>
      <c r="L45" s="176"/>
      <c r="M45" s="199" t="str">
        <v>1020:1037</v>
      </c>
      <c r="N45" s="199">
        <v>30</v>
      </c>
      <c r="O45" s="199"/>
      <c r="P45" s="199"/>
    </row>
    <row r="46" spans="2:16" x14ac:dyDescent="0.2">
      <c r="B46" s="178" t="str">
        <v>CTN 25</v>
      </c>
      <c r="C46" s="181" t="str">
        <v>PROJ</v>
      </c>
      <c r="D46" s="178" t="str">
        <v>--</v>
      </c>
      <c r="E46" s="184" t="str">
        <v>Wk 48</v>
      </c>
      <c r="F46" s="187">
        <v>46352</v>
      </c>
      <c r="G46" s="187">
        <v>46377</v>
      </c>
      <c r="H46" s="190" t="str">
        <v>Sat Dec 26</v>
      </c>
      <c r="I46" s="192" t="str">
        <v>ETA</v>
      </c>
      <c r="J46" s="194" t="str">
        <v>FL 10</v>
      </c>
      <c r="K46" s="195" t="str">
        <v>16x</v>
      </c>
      <c r="L46" s="176"/>
      <c r="M46" s="199" t="str">
        <v>1038:1049,1052:1055</v>
      </c>
      <c r="N46" s="199">
        <v>30</v>
      </c>
      <c r="O46" s="199"/>
      <c r="P46" s="199"/>
    </row>
    <row r="47" spans="2:16" x14ac:dyDescent="0.2">
      <c r="B47" s="178" t="str">
        <v>CTN 26</v>
      </c>
      <c r="C47" s="181" t="str">
        <v>PROJ</v>
      </c>
      <c r="D47" s="178" t="str">
        <v>--</v>
      </c>
      <c r="E47" s="184" t="str">
        <v>Wk 49</v>
      </c>
      <c r="F47" s="187">
        <v>46359</v>
      </c>
      <c r="G47" s="187">
        <v>46384</v>
      </c>
      <c r="H47" s="190" t="str">
        <v>Sat Jan 02</v>
      </c>
      <c r="I47" s="192" t="str">
        <v>ETA</v>
      </c>
      <c r="J47" s="194" t="str">
        <v>FL 10,11</v>
      </c>
      <c r="K47" s="195" t="str">
        <v>18x</v>
      </c>
      <c r="L47" s="176"/>
      <c r="M47" s="199" t="str">
        <v>1056:1058,1101:1115</v>
      </c>
      <c r="N47" s="199">
        <v>30</v>
      </c>
      <c r="O47" s="199"/>
      <c r="P47" s="199"/>
    </row>
    <row r="48" spans="2:16" x14ac:dyDescent="0.2">
      <c r="B48" s="178" t="str">
        <v>CTN 27</v>
      </c>
      <c r="C48" s="181" t="str">
        <v>PROJ</v>
      </c>
      <c r="D48" s="178" t="str">
        <v>--</v>
      </c>
      <c r="E48" s="184" t="str">
        <v>Wk 49</v>
      </c>
      <c r="F48" s="187">
        <v>46359</v>
      </c>
      <c r="G48" s="187">
        <v>46384</v>
      </c>
      <c r="H48" s="190" t="str">
        <v>Sat Jan 02</v>
      </c>
      <c r="I48" s="192" t="str">
        <v>ETA</v>
      </c>
      <c r="J48" s="194" t="str">
        <v>FL 11</v>
      </c>
      <c r="K48" s="195" t="str">
        <v>18x</v>
      </c>
      <c r="L48" s="176"/>
      <c r="M48" s="199" t="str">
        <v>1116:1133</v>
      </c>
      <c r="N48" s="199">
        <v>30</v>
      </c>
      <c r="O48" s="199"/>
      <c r="P48" s="199"/>
    </row>
    <row r="49" spans="2:16" x14ac:dyDescent="0.2">
      <c r="B49" s="178" t="str">
        <v>CTN 28</v>
      </c>
      <c r="C49" s="181" t="str">
        <v>PROJ</v>
      </c>
      <c r="D49" s="178" t="str">
        <v>--</v>
      </c>
      <c r="E49" s="184" t="str">
        <v>Wk 50</v>
      </c>
      <c r="F49" s="187">
        <v>46366</v>
      </c>
      <c r="G49" s="187">
        <v>46391</v>
      </c>
      <c r="H49" s="190" t="str">
        <v>Sat Jan 09</v>
      </c>
      <c r="I49" s="192" t="str">
        <v>ETA</v>
      </c>
      <c r="J49" s="194" t="str">
        <v>FL 11</v>
      </c>
      <c r="K49" s="195" t="str">
        <v>16x</v>
      </c>
      <c r="L49" s="176"/>
      <c r="M49" s="199" t="str">
        <v>1134:1149</v>
      </c>
      <c r="N49" s="199">
        <v>30</v>
      </c>
      <c r="O49" s="199"/>
      <c r="P49" s="199"/>
    </row>
    <row r="50" spans="2:16" x14ac:dyDescent="0.2">
      <c r="B50" s="178" t="str">
        <v>CTN 29</v>
      </c>
      <c r="C50" s="181" t="str">
        <v>PROJ</v>
      </c>
      <c r="D50" s="178" t="str">
        <v>--</v>
      </c>
      <c r="E50" s="184" t="str">
        <v>Wk 50</v>
      </c>
      <c r="F50" s="187">
        <v>46366</v>
      </c>
      <c r="G50" s="187">
        <v>46391</v>
      </c>
      <c r="H50" s="190" t="str">
        <v>Sat Jan 09</v>
      </c>
      <c r="I50" s="192" t="str">
        <v>ETA</v>
      </c>
      <c r="J50" s="194" t="str">
        <v>FL 11,12</v>
      </c>
      <c r="K50" s="195" t="str">
        <v>18x</v>
      </c>
      <c r="L50" s="176"/>
      <c r="M50" s="199" t="str">
        <v>1152:1158,1201:1211</v>
      </c>
      <c r="N50" s="199">
        <v>30</v>
      </c>
      <c r="O50" s="199"/>
      <c r="P50" s="199"/>
    </row>
    <row r="51" spans="2:16" x14ac:dyDescent="0.2">
      <c r="B51" s="178" t="str">
        <v>CTN 30</v>
      </c>
      <c r="C51" s="181" t="str">
        <v>PROJ</v>
      </c>
      <c r="D51" s="178" t="str">
        <v>--</v>
      </c>
      <c r="E51" s="184" t="str">
        <v>Wk 51</v>
      </c>
      <c r="F51" s="187">
        <v>46373</v>
      </c>
      <c r="G51" s="187">
        <v>46398</v>
      </c>
      <c r="H51" s="190" t="str">
        <v>Sat Jan 16</v>
      </c>
      <c r="I51" s="192" t="str">
        <v>ETA</v>
      </c>
      <c r="J51" s="194" t="str">
        <v>FL 12</v>
      </c>
      <c r="K51" s="195" t="str">
        <v>18x</v>
      </c>
      <c r="L51" s="176"/>
      <c r="M51" s="199" t="str">
        <v>1212:1229</v>
      </c>
      <c r="N51" s="199">
        <v>30</v>
      </c>
      <c r="O51" s="199"/>
      <c r="P51" s="199"/>
    </row>
    <row r="52" spans="2:16" x14ac:dyDescent="0.2">
      <c r="B52" s="179" t="str">
        <v>CTN 31</v>
      </c>
      <c r="C52" s="182" t="str">
        <v>PROJ</v>
      </c>
      <c r="D52" s="179" t="str">
        <v>--</v>
      </c>
      <c r="E52" s="185" t="str">
        <v>Wk 51</v>
      </c>
      <c r="F52" s="188">
        <v>46373</v>
      </c>
      <c r="G52" s="188">
        <v>46398</v>
      </c>
      <c r="H52" s="190" t="str">
        <v>Sat Jan 16</v>
      </c>
      <c r="I52" s="192" t="str">
        <v>ETA</v>
      </c>
      <c r="J52" s="194" t="str">
        <v>FL 12</v>
      </c>
      <c r="K52" s="195" t="str">
        <v>18x</v>
      </c>
      <c r="L52" s="176"/>
      <c r="M52" s="200" t="str">
        <v>1230:1247</v>
      </c>
      <c r="N52" s="199">
        <v>30</v>
      </c>
      <c r="O52" s="199"/>
      <c r="P52" s="199"/>
    </row>
    <row r="53" spans="2:16" x14ac:dyDescent="0.2">
      <c r="B53" s="179" t="str">
        <v>CTN Doors</v>
      </c>
      <c r="C53" s="182" t="str">
        <v>PROJ</v>
      </c>
      <c r="D53" s="179" t="str">
        <v>--</v>
      </c>
      <c r="E53" s="185" t="str">
        <v>Wk 54</v>
      </c>
      <c r="F53" s="188">
        <v>46394</v>
      </c>
      <c r="G53" s="188">
        <v>46419</v>
      </c>
      <c r="H53" s="190" t="str">
        <v>Sat Feb 06</v>
      </c>
      <c r="I53" s="192" t="str">
        <v>ETA</v>
      </c>
      <c r="J53" s="194" t="str">
        <v>FL 3</v>
      </c>
      <c r="K53" s="195" t="str">
        <v>58x</v>
      </c>
      <c r="L53" s="176"/>
      <c r="M53" s="199" t="str">
        <v>3rd Floor Doors</v>
      </c>
      <c r="N53" s="199">
        <v>30</v>
      </c>
      <c r="O53" s="199"/>
      <c r="P53" s="199"/>
    </row>
    <row r="54" spans="2:16" x14ac:dyDescent="0.2">
      <c r="B54" s="179" t="str">
        <v>CTN H1</v>
      </c>
      <c r="C54" s="182" t="str">
        <v>PROJ</v>
      </c>
      <c r="D54" s="179" t="str">
        <v>--</v>
      </c>
      <c r="E54" s="185" t="str">
        <v>Wk 51</v>
      </c>
      <c r="F54" s="188">
        <v>46373</v>
      </c>
      <c r="G54" s="188">
        <v>46398</v>
      </c>
      <c r="H54" s="190" t="str">
        <v>Sat Jan 16</v>
      </c>
      <c r="I54" s="192" t="str">
        <v>ETA</v>
      </c>
      <c r="J54" s="194" t="str">
        <v>FL 3:10</v>
      </c>
      <c r="K54" s="195" t="str">
        <v>16x</v>
      </c>
      <c r="L54" s="176"/>
      <c r="M54" s="199" t="str">
        <v>350:351,450:451,550:551,650:651,750:751,850:851,950:951,1050:1051</v>
      </c>
      <c r="N54" s="199">
        <v>30</v>
      </c>
      <c r="O54" s="199"/>
      <c r="P54" s="199"/>
    </row>
    <row r="55" spans="2:16" x14ac:dyDescent="0.2">
      <c r="B55" s="179" t="str">
        <v>CTN 0</v>
      </c>
      <c r="C55" s="182">
        <v>0</v>
      </c>
      <c r="D55" s="179">
        <v>0</v>
      </c>
      <c r="E55" s="185" t="str">
        <v>Wk 0</v>
      </c>
      <c r="F55" s="188">
        <v>0</v>
      </c>
      <c r="G55" s="188">
        <v>0</v>
      </c>
      <c r="H55" s="190" t="str">
        <v>Sat Jan 00</v>
      </c>
      <c r="I55" s="192" t="b">
        <v>0</v>
      </c>
      <c r="J55" s="194" t="str">
        <v>FL 0</v>
      </c>
      <c r="K55" s="195" t="str">
        <v>0x</v>
      </c>
      <c r="L55" s="176"/>
      <c r="M55" s="199">
        <v>0</v>
      </c>
      <c r="N55">
        <v>0</v>
      </c>
    </row>
    <row r="56" spans="2:16" x14ac:dyDescent="0.2">
      <c r="B56" s="179" t="str">
        <v>CTN 0</v>
      </c>
      <c r="C56" s="182">
        <v>0</v>
      </c>
      <c r="D56" s="179">
        <v>0</v>
      </c>
      <c r="E56" s="185" t="str">
        <v>Wk 0</v>
      </c>
      <c r="F56" s="188">
        <v>0</v>
      </c>
      <c r="G56" s="188">
        <v>0</v>
      </c>
      <c r="H56" s="190" t="str">
        <v>Sat Jan 00</v>
      </c>
      <c r="I56" s="192" t="b">
        <v>0</v>
      </c>
      <c r="J56" s="194" t="str">
        <v>FL 0</v>
      </c>
      <c r="K56" s="195" t="str">
        <v>0x</v>
      </c>
      <c r="L56" s="176"/>
      <c r="M56" s="199">
        <v>0</v>
      </c>
      <c r="N56">
        <v>0</v>
      </c>
    </row>
    <row r="57" spans="2:16" x14ac:dyDescent="0.2">
      <c r="B57" s="179" t="str">
        <v xml:space="preserve">CTN </v>
      </c>
      <c r="C57" s="182">
        <v>0</v>
      </c>
      <c r="D57" s="179">
        <v>0</v>
      </c>
      <c r="E57" s="185" t="str">
        <v xml:space="preserve">Wk </v>
      </c>
      <c r="F57" s="188">
        <v>0</v>
      </c>
      <c r="G57" s="188">
        <v>0</v>
      </c>
      <c r="H57" s="190" t="str">
        <v>Sat Jan 00</v>
      </c>
      <c r="I57" s="192" t="str">
        <v>ETA</v>
      </c>
      <c r="J57" s="194" t="str">
        <v xml:space="preserve">FL </v>
      </c>
      <c r="K57" s="195" t="str">
        <v>x</v>
      </c>
      <c r="L57" s="176"/>
      <c r="M57" s="199">
        <v>0</v>
      </c>
      <c r="N57">
        <v>0</v>
      </c>
    </row>
    <row r="58" spans="2:16" x14ac:dyDescent="0.2">
      <c r="B58" s="179" t="str">
        <v xml:space="preserve">CTN </v>
      </c>
      <c r="C58" s="182">
        <v>0</v>
      </c>
      <c r="D58" s="179">
        <v>0</v>
      </c>
      <c r="E58" s="185" t="str">
        <v xml:space="preserve">Wk </v>
      </c>
      <c r="F58" s="188">
        <v>0</v>
      </c>
      <c r="G58" s="188">
        <v>0</v>
      </c>
      <c r="H58" s="190" t="str">
        <v>Sat Jan 00</v>
      </c>
      <c r="I58" s="192" t="str">
        <v>ETA</v>
      </c>
      <c r="J58" s="194" t="str">
        <v xml:space="preserve">FL </v>
      </c>
      <c r="K58" s="195" t="str">
        <v>x</v>
      </c>
      <c r="L58" s="176"/>
      <c r="M58" s="199">
        <v>0</v>
      </c>
      <c r="N58">
        <v>0</v>
      </c>
    </row>
    <row r="59" spans="2:16" x14ac:dyDescent="0.2">
      <c r="B59" s="179" t="str">
        <v xml:space="preserve">CTN </v>
      </c>
      <c r="C59" s="182">
        <v>0</v>
      </c>
      <c r="D59" s="179">
        <v>0</v>
      </c>
      <c r="E59" s="185" t="str">
        <v xml:space="preserve">Wk </v>
      </c>
      <c r="F59" s="188">
        <v>0</v>
      </c>
      <c r="G59" s="188">
        <v>0</v>
      </c>
      <c r="H59" s="190" t="str">
        <v>Sat Jan 00</v>
      </c>
      <c r="I59" s="192" t="str">
        <v>ETA</v>
      </c>
      <c r="J59" s="194" t="str">
        <v xml:space="preserve">FL </v>
      </c>
      <c r="K59" s="195" t="str">
        <v>x</v>
      </c>
      <c r="L59" s="176"/>
      <c r="M59" s="199">
        <v>0</v>
      </c>
      <c r="N59">
        <v>0</v>
      </c>
    </row>
  </sheetData>
  <mergeCells count="1">
    <mergeCell ref="N2:O2"/>
  </mergeCells>
  <conditionalFormatting sqref="I22:I26">
    <cfRule type="containsText" dxfId="59" priority="1" operator="containsText" text="Confirmed">
      <formula>NOT(ISERROR(SEARCH("Confirmed",I22)))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8E5DB-411E-4A67-9D36-BAB80C869B4B}">
  <sheetPr>
    <tabColor theme="4" tint="0.39997558519241921"/>
    <pageSetUpPr fitToPage="1"/>
  </sheetPr>
  <dimension ref="B2:BU88"/>
  <sheetViews>
    <sheetView showGridLines="0" tabSelected="1" topLeftCell="A13" zoomScale="70" zoomScaleNormal="70" workbookViewId="0">
      <selection activeCell="T25" sqref="T25"/>
    </sheetView>
  </sheetViews>
  <sheetFormatPr defaultColWidth="7.109375" defaultRowHeight="18" x14ac:dyDescent="0.2"/>
  <cols>
    <col min="1" max="1" width="2.88671875" style="2" customWidth="1"/>
    <col min="2" max="2" width="12.21875" style="231" customWidth="1"/>
    <col min="3" max="3" width="9.77734375" style="2" bestFit="1" customWidth="1"/>
    <col min="4" max="4" width="8.21875" style="2" bestFit="1" customWidth="1"/>
    <col min="5" max="5" width="10.109375" style="2" bestFit="1" customWidth="1"/>
    <col min="6" max="7" width="10.44140625" style="2" bestFit="1" customWidth="1"/>
    <col min="8" max="9" width="8.21875" style="2" bestFit="1" customWidth="1"/>
    <col min="10" max="10" width="8.6640625" style="2" customWidth="1"/>
    <col min="11" max="11" width="8.21875" style="2" bestFit="1" customWidth="1"/>
    <col min="12" max="13" width="10.44140625" style="2" bestFit="1" customWidth="1"/>
    <col min="14" max="14" width="8.21875" style="2" bestFit="1" customWidth="1"/>
    <col min="15" max="15" width="6.88671875" style="2" bestFit="1" customWidth="1"/>
    <col min="16" max="16" width="10.44140625" style="2" bestFit="1" customWidth="1"/>
    <col min="17" max="17" width="8.21875" style="2" bestFit="1" customWidth="1"/>
    <col min="18" max="18" width="10.109375" style="2" bestFit="1" customWidth="1"/>
    <col min="19" max="19" width="8.21875" style="2" bestFit="1" customWidth="1"/>
    <col min="20" max="20" width="10.109375" style="2" bestFit="1" customWidth="1"/>
    <col min="21" max="21" width="10.44140625" style="2" bestFit="1" customWidth="1"/>
    <col min="22" max="23" width="11.6640625" style="2" bestFit="1" customWidth="1"/>
    <col min="24" max="24" width="10.44140625" style="2" bestFit="1" customWidth="1"/>
    <col min="25" max="25" width="11.6640625" style="2" bestFit="1" customWidth="1"/>
    <col min="26" max="26" width="8.21875" style="2" bestFit="1" customWidth="1"/>
    <col min="27" max="27" width="9.109375" style="2" bestFit="1" customWidth="1"/>
    <col min="28" max="29" width="11.109375" style="2" bestFit="1" customWidth="1"/>
    <col min="30" max="30" width="10.109375" style="2" bestFit="1" customWidth="1"/>
    <col min="31" max="31" width="11.6640625" style="2" bestFit="1" customWidth="1"/>
    <col min="32" max="32" width="10.44140625" style="2" bestFit="1" customWidth="1"/>
    <col min="33" max="33" width="7.21875" style="2" bestFit="1" customWidth="1"/>
    <col min="34" max="34" width="9.109375" style="2" bestFit="1" customWidth="1"/>
    <col min="35" max="35" width="8.88671875" style="2" bestFit="1" customWidth="1"/>
    <col min="36" max="38" width="8.21875" style="2" bestFit="1" customWidth="1"/>
    <col min="39" max="39" width="10.44140625" style="2" bestFit="1" customWidth="1"/>
    <col min="40" max="40" width="8.21875" style="2" bestFit="1" customWidth="1"/>
    <col min="41" max="41" width="7.88671875" style="2" bestFit="1" customWidth="1"/>
    <col min="42" max="42" width="10.109375" style="2" bestFit="1" customWidth="1"/>
    <col min="43" max="43" width="8.21875" style="2" bestFit="1" customWidth="1"/>
    <col min="44" max="44" width="10.44140625" style="2" bestFit="1" customWidth="1"/>
    <col min="45" max="45" width="9.109375" style="2" bestFit="1" customWidth="1"/>
    <col min="46" max="49" width="10.44140625" style="2" bestFit="1" customWidth="1"/>
    <col min="50" max="50" width="8.21875" style="2" bestFit="1" customWidth="1"/>
    <col min="51" max="51" width="10.109375" style="2" bestFit="1" customWidth="1"/>
    <col min="52" max="52" width="8.21875" style="2" bestFit="1" customWidth="1"/>
    <col min="53" max="54" width="10.109375" style="2" bestFit="1" customWidth="1"/>
    <col min="55" max="55" width="10.44140625" style="2" bestFit="1" customWidth="1"/>
    <col min="56" max="56" width="11.33203125" style="2" bestFit="1" customWidth="1"/>
    <col min="57" max="57" width="10.109375" style="2" bestFit="1" customWidth="1"/>
    <col min="58" max="58" width="9.109375" style="2" bestFit="1" customWidth="1"/>
    <col min="59" max="59" width="10.44140625" style="2" bestFit="1" customWidth="1"/>
    <col min="60" max="60" width="8.88671875" style="2" bestFit="1" customWidth="1"/>
    <col min="61" max="61" width="1.6640625" style="2" customWidth="1"/>
    <col min="62" max="64" width="7.109375" style="2"/>
    <col min="65" max="65" width="9.77734375" style="2" customWidth="1"/>
    <col min="66" max="16384" width="7.109375" style="2"/>
  </cols>
  <sheetData>
    <row r="2" spans="2:73" ht="35.25" thickBot="1" x14ac:dyDescent="0.25">
      <c r="B2" s="229" t="s">
        <v>89</v>
      </c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  <c r="AN2" s="225"/>
      <c r="AO2" s="225"/>
      <c r="AP2" s="225"/>
      <c r="AQ2" s="225"/>
      <c r="AR2" s="225"/>
      <c r="AS2" s="225"/>
      <c r="AT2" s="225"/>
      <c r="AU2" s="225"/>
      <c r="AV2" s="225"/>
      <c r="AW2" s="225"/>
      <c r="AX2" s="225"/>
      <c r="AY2" s="225"/>
      <c r="AZ2" s="225"/>
      <c r="BA2" s="225"/>
      <c r="BB2" s="225"/>
      <c r="BC2" s="225"/>
      <c r="BD2" s="225"/>
      <c r="BE2" s="225"/>
      <c r="BF2" s="225"/>
      <c r="BG2" s="225"/>
      <c r="BH2" s="225"/>
    </row>
    <row r="3" spans="2:73" ht="35.25" thickBot="1" x14ac:dyDescent="0.25">
      <c r="B3" s="230" t="s">
        <v>91</v>
      </c>
      <c r="C3" s="235"/>
      <c r="D3" s="235"/>
      <c r="E3" s="235"/>
      <c r="F3" s="235"/>
      <c r="G3" s="235"/>
      <c r="H3" s="235"/>
      <c r="I3" s="235"/>
      <c r="J3" s="235"/>
      <c r="K3" s="252"/>
      <c r="L3" s="225"/>
      <c r="M3" s="353" t="s">
        <v>92</v>
      </c>
      <c r="N3" s="354"/>
      <c r="O3" s="355"/>
      <c r="P3" s="295" t="s">
        <v>93</v>
      </c>
      <c r="Q3" s="29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  <c r="AK3" s="225"/>
      <c r="AL3" s="225"/>
      <c r="AM3" s="225"/>
      <c r="AN3" s="225"/>
      <c r="AO3" s="225"/>
      <c r="AP3" s="225"/>
      <c r="AQ3" s="225"/>
      <c r="AR3" s="225"/>
      <c r="AS3" s="225"/>
      <c r="AT3" s="225"/>
      <c r="AU3" s="225"/>
      <c r="AV3" s="225"/>
      <c r="AW3" s="225"/>
      <c r="AX3" s="225"/>
      <c r="AY3" s="225"/>
      <c r="AZ3" s="225"/>
      <c r="BA3" s="225"/>
      <c r="BB3" s="225"/>
      <c r="BC3" s="225"/>
      <c r="BD3" s="225"/>
      <c r="BE3" s="225"/>
      <c r="BF3" s="225"/>
      <c r="BG3" s="225"/>
      <c r="BH3" s="225"/>
    </row>
    <row r="4" spans="2:73" x14ac:dyDescent="0.2"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6"/>
      <c r="Q4" s="236"/>
      <c r="R4" s="236"/>
      <c r="S4" s="236"/>
      <c r="T4" s="236"/>
      <c r="U4" s="236"/>
      <c r="V4" s="236"/>
      <c r="W4" s="236"/>
      <c r="X4" s="236"/>
      <c r="Y4" s="236"/>
      <c r="Z4" s="236"/>
      <c r="AA4" s="236"/>
      <c r="AB4" s="236"/>
      <c r="AC4" s="236"/>
      <c r="AD4" s="236"/>
      <c r="AE4" s="236"/>
      <c r="AF4" s="236"/>
      <c r="AG4" s="236"/>
      <c r="AH4" s="236"/>
      <c r="AI4" s="236"/>
      <c r="AJ4" s="236"/>
      <c r="AK4" s="236"/>
      <c r="AL4" s="236"/>
      <c r="AM4" s="236"/>
      <c r="AN4" s="236"/>
      <c r="AO4" s="236"/>
      <c r="AP4" s="236"/>
      <c r="AQ4" s="236"/>
      <c r="AR4" s="236"/>
      <c r="AS4" s="236"/>
      <c r="AT4" s="236"/>
      <c r="AU4" s="236"/>
      <c r="AV4" s="236"/>
      <c r="AW4" s="236"/>
      <c r="AX4" s="236"/>
      <c r="AY4" s="236"/>
      <c r="AZ4" s="237" t="s">
        <v>0</v>
      </c>
      <c r="BA4" s="236"/>
      <c r="BB4" s="236"/>
      <c r="BC4" s="236"/>
      <c r="BD4" s="236"/>
      <c r="BE4" s="236"/>
      <c r="BF4" s="236"/>
      <c r="BG4" s="236"/>
      <c r="BH4" s="236"/>
    </row>
    <row r="5" spans="2:73" s="231" customFormat="1" ht="27" x14ac:dyDescent="0.2">
      <c r="B5" s="243" t="s">
        <v>1</v>
      </c>
      <c r="C5" s="232" t="s">
        <v>2</v>
      </c>
      <c r="D5" s="232" t="s">
        <v>3</v>
      </c>
      <c r="E5" s="232" t="s">
        <v>4</v>
      </c>
      <c r="F5" s="232" t="s">
        <v>5</v>
      </c>
      <c r="G5" s="232" t="s">
        <v>6</v>
      </c>
      <c r="H5" s="232" t="s">
        <v>7</v>
      </c>
      <c r="I5" s="232" t="s">
        <v>8</v>
      </c>
      <c r="J5" s="232" t="s">
        <v>9</v>
      </c>
      <c r="K5" s="232" t="s">
        <v>10</v>
      </c>
      <c r="L5" s="232" t="s">
        <v>11</v>
      </c>
      <c r="M5" s="232" t="s">
        <v>12</v>
      </c>
      <c r="N5" s="232" t="s">
        <v>13</v>
      </c>
      <c r="O5" s="232">
        <v>13</v>
      </c>
      <c r="P5" s="232">
        <v>14</v>
      </c>
      <c r="Q5" s="232">
        <v>15</v>
      </c>
      <c r="R5" s="232">
        <v>16</v>
      </c>
      <c r="S5" s="232">
        <v>17</v>
      </c>
      <c r="T5" s="232">
        <v>18</v>
      </c>
      <c r="U5" s="232">
        <v>19</v>
      </c>
      <c r="V5" s="232">
        <v>20</v>
      </c>
      <c r="W5" s="232">
        <v>21</v>
      </c>
      <c r="X5" s="232">
        <v>22</v>
      </c>
      <c r="Y5" s="232">
        <v>23</v>
      </c>
      <c r="Z5" s="232">
        <v>24</v>
      </c>
      <c r="AA5" s="232">
        <v>25</v>
      </c>
      <c r="AB5" s="232">
        <v>26</v>
      </c>
      <c r="AC5" s="232">
        <v>27</v>
      </c>
      <c r="AD5" s="232">
        <v>28</v>
      </c>
      <c r="AE5" s="232">
        <v>29</v>
      </c>
      <c r="AF5" s="232">
        <v>30</v>
      </c>
      <c r="AG5" s="232">
        <v>31</v>
      </c>
      <c r="AH5" s="232">
        <v>32</v>
      </c>
      <c r="AI5" s="232">
        <v>33</v>
      </c>
      <c r="AJ5" s="232">
        <v>34</v>
      </c>
      <c r="AK5" s="232">
        <v>35</v>
      </c>
      <c r="AL5" s="232">
        <v>36</v>
      </c>
      <c r="AM5" s="232">
        <v>37</v>
      </c>
      <c r="AN5" s="232">
        <v>38</v>
      </c>
      <c r="AO5" s="232">
        <v>39</v>
      </c>
      <c r="AP5" s="232">
        <v>40</v>
      </c>
      <c r="AQ5" s="232">
        <v>41</v>
      </c>
      <c r="AR5" s="232">
        <v>42</v>
      </c>
      <c r="AS5" s="232">
        <v>43</v>
      </c>
      <c r="AT5" s="232">
        <v>44</v>
      </c>
      <c r="AU5" s="232">
        <v>45</v>
      </c>
      <c r="AV5" s="232">
        <v>46</v>
      </c>
      <c r="AW5" s="232">
        <v>47</v>
      </c>
      <c r="AX5" s="232">
        <v>48</v>
      </c>
      <c r="AY5" s="232">
        <v>49</v>
      </c>
      <c r="AZ5" s="232">
        <v>50</v>
      </c>
      <c r="BA5" s="232">
        <v>51</v>
      </c>
      <c r="BB5" s="232">
        <v>52</v>
      </c>
      <c r="BC5" s="232">
        <v>53</v>
      </c>
      <c r="BD5" s="232">
        <v>54</v>
      </c>
      <c r="BE5" s="232">
        <v>55</v>
      </c>
      <c r="BF5" s="232">
        <v>56</v>
      </c>
      <c r="BG5" s="232">
        <v>57</v>
      </c>
      <c r="BH5" s="232">
        <v>58</v>
      </c>
      <c r="BJ5" s="296" t="s">
        <v>102</v>
      </c>
      <c r="BK5" s="297"/>
      <c r="BL5" s="297"/>
      <c r="BM5" s="297"/>
      <c r="BN5" s="297"/>
      <c r="BO5" s="298"/>
    </row>
    <row r="6" spans="2:73" ht="33" customHeight="1" thickBot="1" x14ac:dyDescent="0.25">
      <c r="B6" s="243" t="s">
        <v>90</v>
      </c>
      <c r="C6" s="238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8"/>
      <c r="AA6" s="238"/>
      <c r="AB6" s="238"/>
      <c r="AC6" s="238"/>
      <c r="AD6" s="238"/>
      <c r="AE6" s="238"/>
      <c r="AF6" s="238"/>
      <c r="AG6" s="238"/>
      <c r="AH6" s="238"/>
      <c r="AI6" s="238"/>
      <c r="AJ6" s="238"/>
      <c r="AK6" s="238"/>
      <c r="AL6" s="238"/>
      <c r="AM6" s="238"/>
      <c r="AN6" s="238"/>
      <c r="AO6" s="238"/>
      <c r="AP6" s="238"/>
      <c r="AQ6" s="238"/>
      <c r="AR6" s="238"/>
      <c r="AS6" s="238"/>
      <c r="AT6" s="238"/>
      <c r="AU6" s="238"/>
      <c r="AV6" s="238"/>
      <c r="AW6" s="238"/>
      <c r="AX6" s="238"/>
      <c r="AY6" s="238"/>
      <c r="AZ6" s="238"/>
      <c r="BA6" s="238"/>
      <c r="BB6" s="238"/>
      <c r="BC6" s="238"/>
      <c r="BD6" s="238"/>
      <c r="BE6" s="238"/>
      <c r="BF6" s="238"/>
      <c r="BG6" s="238"/>
      <c r="BH6" s="238"/>
      <c r="BJ6" s="299"/>
      <c r="BK6" s="300"/>
      <c r="BL6" s="300"/>
      <c r="BM6" s="300"/>
      <c r="BN6" s="300"/>
      <c r="BO6" s="301"/>
    </row>
    <row r="7" spans="2:73" ht="18" customHeight="1" x14ac:dyDescent="0.25">
      <c r="B7" s="251"/>
      <c r="C7" s="241" cm="1">
        <f t="array" ref="C7:BH7">$B8*100+C$5:BH$5</f>
        <v>2901</v>
      </c>
      <c r="D7" s="241">
        <v>2902</v>
      </c>
      <c r="E7" s="241">
        <v>2903</v>
      </c>
      <c r="F7" s="241">
        <v>2904</v>
      </c>
      <c r="G7" s="241">
        <v>2905</v>
      </c>
      <c r="H7" s="241">
        <v>2906</v>
      </c>
      <c r="I7" s="241">
        <v>2907</v>
      </c>
      <c r="J7" s="241">
        <v>2908</v>
      </c>
      <c r="K7" s="241">
        <v>2909</v>
      </c>
      <c r="L7" s="241">
        <v>2910</v>
      </c>
      <c r="M7" s="241">
        <v>2911</v>
      </c>
      <c r="N7" s="241">
        <v>2912</v>
      </c>
      <c r="O7" s="241">
        <v>2913</v>
      </c>
      <c r="P7" s="241">
        <v>2914</v>
      </c>
      <c r="Q7" s="241">
        <v>2915</v>
      </c>
      <c r="R7" s="241">
        <v>2916</v>
      </c>
      <c r="S7" s="241">
        <v>2917</v>
      </c>
      <c r="T7" s="241">
        <v>2918</v>
      </c>
      <c r="U7" s="241">
        <v>2919</v>
      </c>
      <c r="V7" s="241">
        <v>2920</v>
      </c>
      <c r="W7" s="241">
        <v>2921</v>
      </c>
      <c r="X7" s="241">
        <v>2922</v>
      </c>
      <c r="Y7" s="241">
        <v>2923</v>
      </c>
      <c r="Z7" s="241">
        <v>2924</v>
      </c>
      <c r="AA7" s="241">
        <v>2925</v>
      </c>
      <c r="AB7" s="241">
        <v>2926</v>
      </c>
      <c r="AC7" s="241">
        <v>2927</v>
      </c>
      <c r="AD7" s="241">
        <v>2928</v>
      </c>
      <c r="AE7" s="241">
        <v>2929</v>
      </c>
      <c r="AF7" s="241">
        <v>2930</v>
      </c>
      <c r="AG7" s="241">
        <v>2931</v>
      </c>
      <c r="AH7" s="241">
        <v>2932</v>
      </c>
      <c r="AI7" s="241">
        <v>2933</v>
      </c>
      <c r="AJ7" s="241">
        <v>2934</v>
      </c>
      <c r="AK7" s="241">
        <v>2935</v>
      </c>
      <c r="AL7" s="241">
        <v>2936</v>
      </c>
      <c r="AM7" s="241">
        <v>2937</v>
      </c>
      <c r="AN7" s="241">
        <v>2938</v>
      </c>
      <c r="AO7" s="241">
        <v>2939</v>
      </c>
      <c r="AP7" s="241">
        <v>2940</v>
      </c>
      <c r="AQ7" s="241">
        <v>2941</v>
      </c>
      <c r="AR7" s="241">
        <v>2942</v>
      </c>
      <c r="AS7" s="241">
        <v>2943</v>
      </c>
      <c r="AT7" s="241">
        <v>2944</v>
      </c>
      <c r="AU7" s="241">
        <v>2945</v>
      </c>
      <c r="AV7" s="241">
        <v>2946</v>
      </c>
      <c r="AW7" s="241">
        <v>2947</v>
      </c>
      <c r="AX7" s="241">
        <v>2948</v>
      </c>
      <c r="AY7" s="241">
        <v>2949</v>
      </c>
      <c r="AZ7" s="241">
        <v>2950</v>
      </c>
      <c r="BA7" s="241">
        <v>2951</v>
      </c>
      <c r="BB7" s="241">
        <v>2952</v>
      </c>
      <c r="BC7" s="241">
        <v>2953</v>
      </c>
      <c r="BD7" s="241">
        <v>2954</v>
      </c>
      <c r="BE7" s="241">
        <v>2955</v>
      </c>
      <c r="BF7" s="241">
        <v>2956</v>
      </c>
      <c r="BG7" s="241">
        <v>2957</v>
      </c>
      <c r="BH7" s="241">
        <v>2958</v>
      </c>
      <c r="BJ7" s="302" t="str">
        <f>B8&amp;"th FLOOR"</f>
        <v>29th FLOOR</v>
      </c>
      <c r="BK7" s="303"/>
      <c r="BL7" s="303"/>
      <c r="BM7" s="303"/>
      <c r="BN7" s="303"/>
      <c r="BO7" s="304"/>
      <c r="BU7" s="244"/>
    </row>
    <row r="8" spans="2:73" ht="14.25" customHeight="1" x14ac:dyDescent="0.2">
      <c r="B8" s="246" cm="1">
        <f t="array" ref="B8:B86">_xlfn.LET(_xlpm.s,_xlfn.SEQUENCE(79),_xlpm.k,(_xlpm.s-1)/3,IF(MOD(_xlpm.s-1,3)=0,IF($M$3="Top-Down",29-_xlpm.k,3+_xlpm.k),""))</f>
        <v>29</v>
      </c>
      <c r="C8" s="240" t="str" cm="1">
        <f t="array" ref="C8:BH8">_xlfn.XLOOKUP(C7:BH7,'[1]111W_BUILDING MATRIX'!$B$8:$B$600,'[1]111W_BUILDING MATRIX'!$E$8:$E$600,"--")</f>
        <v>--</v>
      </c>
      <c r="D8" s="240" t="str">
        <v>--</v>
      </c>
      <c r="E8" s="240" t="str">
        <v>--</v>
      </c>
      <c r="F8" s="240" t="str">
        <v>--</v>
      </c>
      <c r="G8" s="240" t="str">
        <v>--</v>
      </c>
      <c r="H8" s="240" t="str">
        <v>--</v>
      </c>
      <c r="I8" s="240" t="str">
        <v>--</v>
      </c>
      <c r="J8" s="240" t="str">
        <v>--</v>
      </c>
      <c r="K8" s="240" t="str">
        <v>--</v>
      </c>
      <c r="L8" s="240" t="str">
        <v>--</v>
      </c>
      <c r="M8" s="240" t="str">
        <v>--</v>
      </c>
      <c r="N8" s="240" t="str">
        <v>--</v>
      </c>
      <c r="O8" s="240" t="str">
        <v>--</v>
      </c>
      <c r="P8" s="240" t="str">
        <v>--</v>
      </c>
      <c r="Q8" s="240" t="str">
        <v>--</v>
      </c>
      <c r="R8" s="240" t="str">
        <v>--</v>
      </c>
      <c r="S8" s="240" t="str">
        <v>--</v>
      </c>
      <c r="T8" s="240" t="str">
        <v>--</v>
      </c>
      <c r="U8" s="240" t="str">
        <v>--</v>
      </c>
      <c r="V8" s="240" t="str">
        <v>--</v>
      </c>
      <c r="W8" s="240" t="str">
        <v>--</v>
      </c>
      <c r="X8" s="240" t="str">
        <v>--</v>
      </c>
      <c r="Y8" s="240" t="str">
        <v>--</v>
      </c>
      <c r="Z8" s="240" t="str">
        <v>--</v>
      </c>
      <c r="AA8" s="240" t="str">
        <v>--</v>
      </c>
      <c r="AB8" s="240" t="str">
        <v>--</v>
      </c>
      <c r="AC8" s="240" t="str">
        <v>--</v>
      </c>
      <c r="AD8" s="240" t="str">
        <v>--</v>
      </c>
      <c r="AE8" s="240" t="str">
        <v>--</v>
      </c>
      <c r="AF8" s="240" t="str">
        <v>--</v>
      </c>
      <c r="AG8" s="240" t="str">
        <v>--</v>
      </c>
      <c r="AH8" s="240" t="str">
        <v>--</v>
      </c>
      <c r="AI8" s="240" t="str">
        <v>--</v>
      </c>
      <c r="AJ8" s="240" t="str">
        <v>--</v>
      </c>
      <c r="AK8" s="240" t="str">
        <v>--</v>
      </c>
      <c r="AL8" s="240" t="str">
        <v>--</v>
      </c>
      <c r="AM8" s="240" t="str">
        <v>--</v>
      </c>
      <c r="AN8" s="240" t="str">
        <v>--</v>
      </c>
      <c r="AO8" s="240" t="str">
        <v>--</v>
      </c>
      <c r="AP8" s="240" t="str">
        <v>--</v>
      </c>
      <c r="AQ8" s="240" t="str">
        <v>--</v>
      </c>
      <c r="AR8" s="240" t="str">
        <v>--</v>
      </c>
      <c r="AS8" s="240" t="str">
        <v>--</v>
      </c>
      <c r="AT8" s="240" t="str">
        <v>--</v>
      </c>
      <c r="AU8" s="240" t="str">
        <v>--</v>
      </c>
      <c r="AV8" s="240" t="str">
        <v>--</v>
      </c>
      <c r="AW8" s="240" t="str">
        <v>--</v>
      </c>
      <c r="AX8" s="240" t="str">
        <v>--</v>
      </c>
      <c r="AY8" s="240" t="str">
        <v>--</v>
      </c>
      <c r="AZ8" s="240" t="str">
        <v>--</v>
      </c>
      <c r="BA8" s="240" t="str">
        <v>--</v>
      </c>
      <c r="BB8" s="240" t="str">
        <v>--</v>
      </c>
      <c r="BC8" s="240" t="str">
        <v>--</v>
      </c>
      <c r="BD8" s="240" t="str">
        <v>--</v>
      </c>
      <c r="BE8" s="240" t="str">
        <v>--</v>
      </c>
      <c r="BF8" s="240" t="str">
        <v>--</v>
      </c>
      <c r="BG8" s="240" t="str">
        <v>--</v>
      </c>
      <c r="BH8" s="240" t="str">
        <v>--</v>
      </c>
      <c r="BJ8" s="347">
        <f>COUNTIF(C9:BH9, "D")</f>
        <v>0</v>
      </c>
      <c r="BK8" s="349" t="s">
        <v>16</v>
      </c>
      <c r="BL8" s="349"/>
      <c r="BM8" s="349"/>
      <c r="BN8" s="349">
        <f xml:space="preserve"> COUNTIF(C9:BH9,"&lt;&gt;--")</f>
        <v>0</v>
      </c>
      <c r="BO8" s="351" t="e">
        <f>BJ8/BN8</f>
        <v>#DIV/0!</v>
      </c>
    </row>
    <row r="9" spans="2:73" ht="14.25" customHeight="1" thickBot="1" x14ac:dyDescent="0.25">
      <c r="B9" s="247" t="str">
        <v/>
      </c>
      <c r="C9" s="239" t="str" cm="1">
        <f t="array" ref="C9:BH9">_xlfn.XLOOKUP(C7:BH7,'[1]111W_BUILDING MATRIX'!$B$8:$B$600,'[1]111W_BUILDING MATRIX'!$H$8:$H$600,"--")</f>
        <v>--</v>
      </c>
      <c r="D9" s="239" t="str">
        <v>--</v>
      </c>
      <c r="E9" s="239" t="str">
        <v>--</v>
      </c>
      <c r="F9" s="239" t="str">
        <v>--</v>
      </c>
      <c r="G9" s="239" t="str">
        <v>--</v>
      </c>
      <c r="H9" s="239" t="str">
        <v>--</v>
      </c>
      <c r="I9" s="239" t="str">
        <v>--</v>
      </c>
      <c r="J9" s="239" t="str">
        <v>--</v>
      </c>
      <c r="K9" s="239" t="str">
        <v>--</v>
      </c>
      <c r="L9" s="239" t="str">
        <v>--</v>
      </c>
      <c r="M9" s="239" t="str">
        <v>--</v>
      </c>
      <c r="N9" s="239" t="str">
        <v>--</v>
      </c>
      <c r="O9" s="239" t="str">
        <v>--</v>
      </c>
      <c r="P9" s="239" t="str">
        <v>--</v>
      </c>
      <c r="Q9" s="239" t="str">
        <v>--</v>
      </c>
      <c r="R9" s="239" t="str">
        <v>--</v>
      </c>
      <c r="S9" s="239" t="str">
        <v>--</v>
      </c>
      <c r="T9" s="239" t="str">
        <v>--</v>
      </c>
      <c r="U9" s="239" t="str">
        <v>--</v>
      </c>
      <c r="V9" s="239" t="str">
        <v>--</v>
      </c>
      <c r="W9" s="239" t="str">
        <v>--</v>
      </c>
      <c r="X9" s="239" t="str">
        <v>--</v>
      </c>
      <c r="Y9" s="239" t="str">
        <v>--</v>
      </c>
      <c r="Z9" s="239" t="str">
        <v>--</v>
      </c>
      <c r="AA9" s="239" t="str">
        <v>--</v>
      </c>
      <c r="AB9" s="239" t="str">
        <v>--</v>
      </c>
      <c r="AC9" s="239" t="str">
        <v>--</v>
      </c>
      <c r="AD9" s="239" t="str">
        <v>--</v>
      </c>
      <c r="AE9" s="239" t="str">
        <v>--</v>
      </c>
      <c r="AF9" s="239" t="str">
        <v>--</v>
      </c>
      <c r="AG9" s="239" t="str">
        <v>--</v>
      </c>
      <c r="AH9" s="239" t="str">
        <v>--</v>
      </c>
      <c r="AI9" s="239" t="str">
        <v>--</v>
      </c>
      <c r="AJ9" s="239" t="str">
        <v>--</v>
      </c>
      <c r="AK9" s="239" t="str">
        <v>--</v>
      </c>
      <c r="AL9" s="239" t="str">
        <v>--</v>
      </c>
      <c r="AM9" s="239" t="str">
        <v>--</v>
      </c>
      <c r="AN9" s="239" t="str">
        <v>--</v>
      </c>
      <c r="AO9" s="239" t="str">
        <v>--</v>
      </c>
      <c r="AP9" s="239" t="str">
        <v>--</v>
      </c>
      <c r="AQ9" s="239" t="str">
        <v>--</v>
      </c>
      <c r="AR9" s="239" t="str">
        <v>--</v>
      </c>
      <c r="AS9" s="239" t="str">
        <v>--</v>
      </c>
      <c r="AT9" s="239" t="str">
        <v>--</v>
      </c>
      <c r="AU9" s="239" t="str">
        <v>--</v>
      </c>
      <c r="AV9" s="239" t="str">
        <v>--</v>
      </c>
      <c r="AW9" s="239" t="str">
        <v>--</v>
      </c>
      <c r="AX9" s="239" t="str">
        <v>--</v>
      </c>
      <c r="AY9" s="239" t="str">
        <v>--</v>
      </c>
      <c r="AZ9" s="239" t="str">
        <v>--</v>
      </c>
      <c r="BA9" s="239" t="str">
        <v>--</v>
      </c>
      <c r="BB9" s="239" t="str">
        <v>--</v>
      </c>
      <c r="BC9" s="239" t="str">
        <v>--</v>
      </c>
      <c r="BD9" s="239" t="str">
        <v>--</v>
      </c>
      <c r="BE9" s="239" t="str">
        <v>--</v>
      </c>
      <c r="BF9" s="239" t="str">
        <v>--</v>
      </c>
      <c r="BG9" s="239" t="str">
        <v>--</v>
      </c>
      <c r="BH9" s="239" t="str">
        <v>--</v>
      </c>
      <c r="BJ9" s="348"/>
      <c r="BK9" s="350"/>
      <c r="BL9" s="350"/>
      <c r="BM9" s="350"/>
      <c r="BN9" s="350"/>
      <c r="BO9" s="352"/>
    </row>
    <row r="10" spans="2:73" ht="18" customHeight="1" x14ac:dyDescent="0.25">
      <c r="B10" s="251" t="str">
        <v/>
      </c>
      <c r="C10" s="241" cm="1">
        <f t="array" ref="C10:BH10">$B11*100+C$5:BH$5</f>
        <v>2801</v>
      </c>
      <c r="D10" s="241">
        <v>2802</v>
      </c>
      <c r="E10" s="241">
        <v>2803</v>
      </c>
      <c r="F10" s="241">
        <v>2804</v>
      </c>
      <c r="G10" s="241">
        <v>2805</v>
      </c>
      <c r="H10" s="241">
        <v>2806</v>
      </c>
      <c r="I10" s="241">
        <v>2807</v>
      </c>
      <c r="J10" s="241">
        <v>2808</v>
      </c>
      <c r="K10" s="241">
        <v>2809</v>
      </c>
      <c r="L10" s="241">
        <v>2810</v>
      </c>
      <c r="M10" s="241">
        <v>2811</v>
      </c>
      <c r="N10" s="241">
        <v>2812</v>
      </c>
      <c r="O10" s="241">
        <v>2813</v>
      </c>
      <c r="P10" s="241">
        <v>2814</v>
      </c>
      <c r="Q10" s="241">
        <v>2815</v>
      </c>
      <c r="R10" s="241">
        <v>2816</v>
      </c>
      <c r="S10" s="241">
        <v>2817</v>
      </c>
      <c r="T10" s="241">
        <v>2818</v>
      </c>
      <c r="U10" s="241">
        <v>2819</v>
      </c>
      <c r="V10" s="241">
        <v>2820</v>
      </c>
      <c r="W10" s="241">
        <v>2821</v>
      </c>
      <c r="X10" s="241">
        <v>2822</v>
      </c>
      <c r="Y10" s="241">
        <v>2823</v>
      </c>
      <c r="Z10" s="241">
        <v>2824</v>
      </c>
      <c r="AA10" s="241">
        <v>2825</v>
      </c>
      <c r="AB10" s="241">
        <v>2826</v>
      </c>
      <c r="AC10" s="241">
        <v>2827</v>
      </c>
      <c r="AD10" s="241">
        <v>2828</v>
      </c>
      <c r="AE10" s="241">
        <v>2829</v>
      </c>
      <c r="AF10" s="241">
        <v>2830</v>
      </c>
      <c r="AG10" s="241">
        <v>2831</v>
      </c>
      <c r="AH10" s="241">
        <v>2832</v>
      </c>
      <c r="AI10" s="241">
        <v>2833</v>
      </c>
      <c r="AJ10" s="241">
        <v>2834</v>
      </c>
      <c r="AK10" s="241">
        <v>2835</v>
      </c>
      <c r="AL10" s="241">
        <v>2836</v>
      </c>
      <c r="AM10" s="241">
        <v>2837</v>
      </c>
      <c r="AN10" s="241">
        <v>2838</v>
      </c>
      <c r="AO10" s="241">
        <v>2839</v>
      </c>
      <c r="AP10" s="241">
        <v>2840</v>
      </c>
      <c r="AQ10" s="241">
        <v>2841</v>
      </c>
      <c r="AR10" s="241">
        <v>2842</v>
      </c>
      <c r="AS10" s="241">
        <v>2843</v>
      </c>
      <c r="AT10" s="241">
        <v>2844</v>
      </c>
      <c r="AU10" s="241">
        <v>2845</v>
      </c>
      <c r="AV10" s="241">
        <v>2846</v>
      </c>
      <c r="AW10" s="241">
        <v>2847</v>
      </c>
      <c r="AX10" s="241">
        <v>2848</v>
      </c>
      <c r="AY10" s="241">
        <v>2849</v>
      </c>
      <c r="AZ10" s="241">
        <v>2850</v>
      </c>
      <c r="BA10" s="241">
        <v>2851</v>
      </c>
      <c r="BB10" s="241">
        <v>2852</v>
      </c>
      <c r="BC10" s="241">
        <v>2853</v>
      </c>
      <c r="BD10" s="241">
        <v>2854</v>
      </c>
      <c r="BE10" s="241">
        <v>2855</v>
      </c>
      <c r="BF10" s="241">
        <v>2856</v>
      </c>
      <c r="BG10" s="241">
        <v>2857</v>
      </c>
      <c r="BH10" s="241">
        <v>2858</v>
      </c>
      <c r="BJ10" s="302" t="str">
        <f>B11&amp;"th FLOOR"</f>
        <v>28th FLOOR</v>
      </c>
      <c r="BK10" s="303"/>
      <c r="BL10" s="303"/>
      <c r="BM10" s="303"/>
      <c r="BN10" s="303"/>
      <c r="BO10" s="304"/>
    </row>
    <row r="11" spans="2:73" ht="14.25" customHeight="1" x14ac:dyDescent="0.2">
      <c r="B11" s="246">
        <v>28</v>
      </c>
      <c r="C11" s="240" t="str" cm="1">
        <f t="array" ref="C11:BH11">_xlfn.XLOOKUP(C10:BH10,'[1]111W_BUILDING MATRIX'!$B$8:$B$600,'[1]111W_BUILDING MATRIX'!$E$8:$E$600,"--")</f>
        <v>--</v>
      </c>
      <c r="D11" s="240" t="str">
        <v>--</v>
      </c>
      <c r="E11" s="240" t="str">
        <v>--</v>
      </c>
      <c r="F11" s="240" t="str">
        <v>--</v>
      </c>
      <c r="G11" s="240" t="str">
        <v>--</v>
      </c>
      <c r="H11" s="240" t="str">
        <v>--</v>
      </c>
      <c r="I11" s="240" t="str">
        <v>--</v>
      </c>
      <c r="J11" s="240" t="str">
        <v>--</v>
      </c>
      <c r="K11" s="240" t="str">
        <v>--</v>
      </c>
      <c r="L11" s="240" t="str">
        <v>--</v>
      </c>
      <c r="M11" s="240" t="str">
        <v>--</v>
      </c>
      <c r="N11" s="240" t="str">
        <v>--</v>
      </c>
      <c r="O11" s="240" t="str">
        <v>--</v>
      </c>
      <c r="P11" s="240" t="str">
        <v>--</v>
      </c>
      <c r="Q11" s="240" t="str">
        <v>--</v>
      </c>
      <c r="R11" s="240" t="str">
        <v>--</v>
      </c>
      <c r="S11" s="240" t="str">
        <v>--</v>
      </c>
      <c r="T11" s="240" t="str">
        <v>--</v>
      </c>
      <c r="U11" s="240" t="str">
        <v>--</v>
      </c>
      <c r="V11" s="240" t="str">
        <v>--</v>
      </c>
      <c r="W11" s="240" t="str">
        <v>--</v>
      </c>
      <c r="X11" s="240" t="str">
        <v>--</v>
      </c>
      <c r="Y11" s="240" t="str">
        <v>--</v>
      </c>
      <c r="Z11" s="240" t="str">
        <v>--</v>
      </c>
      <c r="AA11" s="240" t="str">
        <v>--</v>
      </c>
      <c r="AB11" s="240" t="str">
        <v>--</v>
      </c>
      <c r="AC11" s="240" t="str">
        <v>--</v>
      </c>
      <c r="AD11" s="240" t="str">
        <v>--</v>
      </c>
      <c r="AE11" s="240" t="str">
        <v>--</v>
      </c>
      <c r="AF11" s="240" t="str">
        <v>--</v>
      </c>
      <c r="AG11" s="240" t="str">
        <v>--</v>
      </c>
      <c r="AH11" s="240" t="str">
        <v>--</v>
      </c>
      <c r="AI11" s="240" t="str">
        <v>--</v>
      </c>
      <c r="AJ11" s="240" t="str">
        <v>--</v>
      </c>
      <c r="AK11" s="240" t="str">
        <v>--</v>
      </c>
      <c r="AL11" s="240" t="str">
        <v>--</v>
      </c>
      <c r="AM11" s="240" t="str">
        <v>--</v>
      </c>
      <c r="AN11" s="240" t="str">
        <v>--</v>
      </c>
      <c r="AO11" s="240" t="str">
        <v>--</v>
      </c>
      <c r="AP11" s="240" t="str">
        <v>--</v>
      </c>
      <c r="AQ11" s="240" t="str">
        <v>--</v>
      </c>
      <c r="AR11" s="240" t="str">
        <v>--</v>
      </c>
      <c r="AS11" s="240" t="str">
        <v>--</v>
      </c>
      <c r="AT11" s="240" t="str">
        <v>--</v>
      </c>
      <c r="AU11" s="240" t="str">
        <v>--</v>
      </c>
      <c r="AV11" s="240" t="str">
        <v>--</v>
      </c>
      <c r="AW11" s="240" t="str">
        <v>--</v>
      </c>
      <c r="AX11" s="240" t="str">
        <v>--</v>
      </c>
      <c r="AY11" s="240" t="str">
        <v>--</v>
      </c>
      <c r="AZ11" s="240" t="str">
        <v>--</v>
      </c>
      <c r="BA11" s="240" t="str">
        <v>--</v>
      </c>
      <c r="BB11" s="240" t="str">
        <v>--</v>
      </c>
      <c r="BC11" s="240" t="str">
        <v>--</v>
      </c>
      <c r="BD11" s="240" t="str">
        <v>--</v>
      </c>
      <c r="BE11" s="240" t="str">
        <v>--</v>
      </c>
      <c r="BF11" s="240" t="str">
        <v>--</v>
      </c>
      <c r="BG11" s="240" t="str">
        <v>--</v>
      </c>
      <c r="BH11" s="240" t="str">
        <v>--</v>
      </c>
      <c r="BJ11" s="347">
        <f>COUNTIF(C12:BH12, "D")</f>
        <v>0</v>
      </c>
      <c r="BK11" s="349" t="s">
        <v>16</v>
      </c>
      <c r="BL11" s="349"/>
      <c r="BM11" s="349"/>
      <c r="BN11" s="349">
        <f xml:space="preserve"> COUNTIF(C12:BH12,"&lt;&gt;--")</f>
        <v>0</v>
      </c>
      <c r="BO11" s="351" t="e">
        <f>BJ11/BN11</f>
        <v>#DIV/0!</v>
      </c>
    </row>
    <row r="12" spans="2:73" ht="15" customHeight="1" thickBot="1" x14ac:dyDescent="0.25">
      <c r="B12" s="247" t="str">
        <v/>
      </c>
      <c r="C12" s="239" t="str" cm="1">
        <f t="array" ref="C12:BH12">_xlfn.XLOOKUP(C10:BH10,'[1]111W_BUILDING MATRIX'!$B$8:$B$600,'[1]111W_BUILDING MATRIX'!$H$8:$H$600,"--")</f>
        <v>--</v>
      </c>
      <c r="D12" s="239" t="str">
        <v>--</v>
      </c>
      <c r="E12" s="239" t="str">
        <v>--</v>
      </c>
      <c r="F12" s="239" t="str">
        <v>--</v>
      </c>
      <c r="G12" s="239" t="str">
        <v>--</v>
      </c>
      <c r="H12" s="239" t="str">
        <v>--</v>
      </c>
      <c r="I12" s="239" t="str">
        <v>--</v>
      </c>
      <c r="J12" s="239" t="str">
        <v>--</v>
      </c>
      <c r="K12" s="239" t="str">
        <v>--</v>
      </c>
      <c r="L12" s="239" t="str">
        <v>--</v>
      </c>
      <c r="M12" s="239" t="str">
        <v>--</v>
      </c>
      <c r="N12" s="239" t="str">
        <v>--</v>
      </c>
      <c r="O12" s="239" t="str">
        <v>--</v>
      </c>
      <c r="P12" s="239" t="str">
        <v>--</v>
      </c>
      <c r="Q12" s="239" t="str">
        <v>--</v>
      </c>
      <c r="R12" s="239" t="str">
        <v>--</v>
      </c>
      <c r="S12" s="239" t="str">
        <v>--</v>
      </c>
      <c r="T12" s="239" t="str">
        <v>--</v>
      </c>
      <c r="U12" s="239" t="str">
        <v>--</v>
      </c>
      <c r="V12" s="239" t="str">
        <v>--</v>
      </c>
      <c r="W12" s="239" t="str">
        <v>--</v>
      </c>
      <c r="X12" s="239" t="str">
        <v>--</v>
      </c>
      <c r="Y12" s="239" t="str">
        <v>--</v>
      </c>
      <c r="Z12" s="239" t="str">
        <v>--</v>
      </c>
      <c r="AA12" s="239" t="str">
        <v>--</v>
      </c>
      <c r="AB12" s="239" t="str">
        <v>--</v>
      </c>
      <c r="AC12" s="239" t="str">
        <v>--</v>
      </c>
      <c r="AD12" s="239" t="str">
        <v>--</v>
      </c>
      <c r="AE12" s="239" t="str">
        <v>--</v>
      </c>
      <c r="AF12" s="239" t="str">
        <v>--</v>
      </c>
      <c r="AG12" s="239" t="str">
        <v>--</v>
      </c>
      <c r="AH12" s="239" t="str">
        <v>--</v>
      </c>
      <c r="AI12" s="239" t="str">
        <v>--</v>
      </c>
      <c r="AJ12" s="239" t="str">
        <v>--</v>
      </c>
      <c r="AK12" s="239" t="str">
        <v>--</v>
      </c>
      <c r="AL12" s="239" t="str">
        <v>--</v>
      </c>
      <c r="AM12" s="239" t="str">
        <v>--</v>
      </c>
      <c r="AN12" s="239" t="str">
        <v>--</v>
      </c>
      <c r="AO12" s="239" t="str">
        <v>--</v>
      </c>
      <c r="AP12" s="239" t="str">
        <v>--</v>
      </c>
      <c r="AQ12" s="239" t="str">
        <v>--</v>
      </c>
      <c r="AR12" s="239" t="str">
        <v>--</v>
      </c>
      <c r="AS12" s="239" t="str">
        <v>--</v>
      </c>
      <c r="AT12" s="239" t="str">
        <v>--</v>
      </c>
      <c r="AU12" s="239" t="str">
        <v>--</v>
      </c>
      <c r="AV12" s="239" t="str">
        <v>--</v>
      </c>
      <c r="AW12" s="239" t="str">
        <v>--</v>
      </c>
      <c r="AX12" s="239" t="str">
        <v>--</v>
      </c>
      <c r="AY12" s="239" t="str">
        <v>--</v>
      </c>
      <c r="AZ12" s="239" t="str">
        <v>--</v>
      </c>
      <c r="BA12" s="239" t="str">
        <v>--</v>
      </c>
      <c r="BB12" s="239" t="str">
        <v>--</v>
      </c>
      <c r="BC12" s="239" t="str">
        <v>--</v>
      </c>
      <c r="BD12" s="239" t="str">
        <v>--</v>
      </c>
      <c r="BE12" s="239" t="str">
        <v>--</v>
      </c>
      <c r="BF12" s="239" t="str">
        <v>--</v>
      </c>
      <c r="BG12" s="239" t="str">
        <v>--</v>
      </c>
      <c r="BH12" s="239" t="str">
        <v>--</v>
      </c>
      <c r="BJ12" s="348"/>
      <c r="BK12" s="350"/>
      <c r="BL12" s="350"/>
      <c r="BM12" s="350"/>
      <c r="BN12" s="350"/>
      <c r="BO12" s="352"/>
    </row>
    <row r="13" spans="2:73" ht="18" customHeight="1" x14ac:dyDescent="0.2">
      <c r="B13" s="245" t="str">
        <v/>
      </c>
      <c r="C13" s="241" cm="1">
        <f t="array" ref="C13:BH13">$B14*100+C$5:BH$5</f>
        <v>2701</v>
      </c>
      <c r="D13" s="241">
        <v>2702</v>
      </c>
      <c r="E13" s="241">
        <v>2703</v>
      </c>
      <c r="F13" s="241">
        <v>2704</v>
      </c>
      <c r="G13" s="241">
        <v>2705</v>
      </c>
      <c r="H13" s="241">
        <v>2706</v>
      </c>
      <c r="I13" s="241">
        <v>2707</v>
      </c>
      <c r="J13" s="241">
        <v>2708</v>
      </c>
      <c r="K13" s="241">
        <v>2709</v>
      </c>
      <c r="L13" s="241">
        <v>2710</v>
      </c>
      <c r="M13" s="241">
        <v>2711</v>
      </c>
      <c r="N13" s="241">
        <v>2712</v>
      </c>
      <c r="O13" s="241">
        <v>2713</v>
      </c>
      <c r="P13" s="241">
        <v>2714</v>
      </c>
      <c r="Q13" s="241">
        <v>2715</v>
      </c>
      <c r="R13" s="241">
        <v>2716</v>
      </c>
      <c r="S13" s="241">
        <v>2717</v>
      </c>
      <c r="T13" s="241">
        <v>2718</v>
      </c>
      <c r="U13" s="241">
        <v>2719</v>
      </c>
      <c r="V13" s="241">
        <v>2720</v>
      </c>
      <c r="W13" s="241">
        <v>2721</v>
      </c>
      <c r="X13" s="241">
        <v>2722</v>
      </c>
      <c r="Y13" s="241">
        <v>2723</v>
      </c>
      <c r="Z13" s="241">
        <v>2724</v>
      </c>
      <c r="AA13" s="241">
        <v>2725</v>
      </c>
      <c r="AB13" s="241">
        <v>2726</v>
      </c>
      <c r="AC13" s="241">
        <v>2727</v>
      </c>
      <c r="AD13" s="241">
        <v>2728</v>
      </c>
      <c r="AE13" s="241">
        <v>2729</v>
      </c>
      <c r="AF13" s="241">
        <v>2730</v>
      </c>
      <c r="AG13" s="241">
        <v>2731</v>
      </c>
      <c r="AH13" s="241">
        <v>2732</v>
      </c>
      <c r="AI13" s="241">
        <v>2733</v>
      </c>
      <c r="AJ13" s="241">
        <v>2734</v>
      </c>
      <c r="AK13" s="241">
        <v>2735</v>
      </c>
      <c r="AL13" s="241">
        <v>2736</v>
      </c>
      <c r="AM13" s="241">
        <v>2737</v>
      </c>
      <c r="AN13" s="241">
        <v>2738</v>
      </c>
      <c r="AO13" s="241">
        <v>2739</v>
      </c>
      <c r="AP13" s="241">
        <v>2740</v>
      </c>
      <c r="AQ13" s="241">
        <v>2741</v>
      </c>
      <c r="AR13" s="241">
        <v>2742</v>
      </c>
      <c r="AS13" s="241">
        <v>2743</v>
      </c>
      <c r="AT13" s="241">
        <v>2744</v>
      </c>
      <c r="AU13" s="241">
        <v>2745</v>
      </c>
      <c r="AV13" s="241">
        <v>2746</v>
      </c>
      <c r="AW13" s="241">
        <v>2747</v>
      </c>
      <c r="AX13" s="241">
        <v>2748</v>
      </c>
      <c r="AY13" s="241">
        <v>2749</v>
      </c>
      <c r="AZ13" s="241">
        <v>2750</v>
      </c>
      <c r="BA13" s="241">
        <v>2751</v>
      </c>
      <c r="BB13" s="241">
        <v>2752</v>
      </c>
      <c r="BC13" s="241">
        <v>2753</v>
      </c>
      <c r="BD13" s="241">
        <v>2754</v>
      </c>
      <c r="BE13" s="241">
        <v>2755</v>
      </c>
      <c r="BF13" s="241">
        <v>2756</v>
      </c>
      <c r="BG13" s="241">
        <v>2757</v>
      </c>
      <c r="BH13" s="241">
        <v>2758</v>
      </c>
      <c r="BJ13" s="302" t="str">
        <f>B14&amp;"th FLOOR"</f>
        <v>27th FLOOR</v>
      </c>
      <c r="BK13" s="303"/>
      <c r="BL13" s="303"/>
      <c r="BM13" s="303"/>
      <c r="BN13" s="303"/>
      <c r="BO13" s="304"/>
    </row>
    <row r="14" spans="2:73" ht="14.25" customHeight="1" x14ac:dyDescent="0.2">
      <c r="B14" s="246">
        <v>27</v>
      </c>
      <c r="C14" s="240" t="str" cm="1">
        <f t="array" ref="C14:BH14">_xlfn.XLOOKUP(C13:BH13,'[1]111W_BUILDING MATRIX'!$B$8:$B$600,'[1]111W_BUILDING MATRIX'!$E$8:$E$600,"--")</f>
        <v>--</v>
      </c>
      <c r="D14" s="240" t="str">
        <v>--</v>
      </c>
      <c r="E14" s="240" t="str">
        <v>--</v>
      </c>
      <c r="F14" s="240" t="str">
        <v>--</v>
      </c>
      <c r="G14" s="240" t="str">
        <v>--</v>
      </c>
      <c r="H14" s="240" t="str">
        <v>--</v>
      </c>
      <c r="I14" s="240" t="str">
        <v>--</v>
      </c>
      <c r="J14" s="240" t="str">
        <v>--</v>
      </c>
      <c r="K14" s="240" t="str">
        <v>--</v>
      </c>
      <c r="L14" s="240" t="str">
        <v>--</v>
      </c>
      <c r="M14" s="240" t="str">
        <v>--</v>
      </c>
      <c r="N14" s="240" t="str">
        <v>--</v>
      </c>
      <c r="O14" s="240" t="str">
        <v>--</v>
      </c>
      <c r="P14" s="240" t="str">
        <v>--</v>
      </c>
      <c r="Q14" s="240" t="str">
        <v>--</v>
      </c>
      <c r="R14" s="240" t="str">
        <v>--</v>
      </c>
      <c r="S14" s="240" t="str">
        <v>--</v>
      </c>
      <c r="T14" s="240" t="str">
        <v>--</v>
      </c>
      <c r="U14" s="240" t="str">
        <v>--</v>
      </c>
      <c r="V14" s="240" t="str">
        <v>--</v>
      </c>
      <c r="W14" s="240" t="str">
        <v>--</v>
      </c>
      <c r="X14" s="240" t="str">
        <v>--</v>
      </c>
      <c r="Y14" s="240" t="str">
        <v>--</v>
      </c>
      <c r="Z14" s="240" t="str">
        <v>--</v>
      </c>
      <c r="AA14" s="240" t="str">
        <v>--</v>
      </c>
      <c r="AB14" s="240" t="str">
        <v>--</v>
      </c>
      <c r="AC14" s="240" t="str">
        <v>--</v>
      </c>
      <c r="AD14" s="240" t="str">
        <v>--</v>
      </c>
      <c r="AE14" s="240" t="str">
        <v>--</v>
      </c>
      <c r="AF14" s="240" t="str">
        <v>--</v>
      </c>
      <c r="AG14" s="240" t="str">
        <v>--</v>
      </c>
      <c r="AH14" s="240" t="str">
        <v>--</v>
      </c>
      <c r="AI14" s="240" t="str">
        <v>--</v>
      </c>
      <c r="AJ14" s="240" t="str">
        <v>--</v>
      </c>
      <c r="AK14" s="240" t="str">
        <v>--</v>
      </c>
      <c r="AL14" s="240" t="str">
        <v>--</v>
      </c>
      <c r="AM14" s="240" t="str">
        <v>--</v>
      </c>
      <c r="AN14" s="240" t="str">
        <v>--</v>
      </c>
      <c r="AO14" s="240" t="str">
        <v>--</v>
      </c>
      <c r="AP14" s="240" t="str">
        <v>--</v>
      </c>
      <c r="AQ14" s="240" t="str">
        <v>--</v>
      </c>
      <c r="AR14" s="240" t="str">
        <v>--</v>
      </c>
      <c r="AS14" s="240" t="str">
        <v>--</v>
      </c>
      <c r="AT14" s="240" t="str">
        <v>--</v>
      </c>
      <c r="AU14" s="240" t="str">
        <v>--</v>
      </c>
      <c r="AV14" s="240" t="str">
        <v>--</v>
      </c>
      <c r="AW14" s="240" t="str">
        <v>--</v>
      </c>
      <c r="AX14" s="240" t="str">
        <v>--</v>
      </c>
      <c r="AY14" s="240" t="str">
        <v>--</v>
      </c>
      <c r="AZ14" s="240" t="str">
        <v>--</v>
      </c>
      <c r="BA14" s="240" t="str">
        <v>--</v>
      </c>
      <c r="BB14" s="240" t="str">
        <v>--</v>
      </c>
      <c r="BC14" s="240" t="str">
        <v>--</v>
      </c>
      <c r="BD14" s="240" t="str">
        <v>--</v>
      </c>
      <c r="BE14" s="240" t="str">
        <v>--</v>
      </c>
      <c r="BF14" s="240" t="str">
        <v>--</v>
      </c>
      <c r="BG14" s="240" t="str">
        <v>--</v>
      </c>
      <c r="BH14" s="240" t="str">
        <v>--</v>
      </c>
      <c r="BJ14" s="347">
        <f t="shared" ref="BJ14" si="0">COUNTIF(C15:BH15, "D")</f>
        <v>0</v>
      </c>
      <c r="BK14" s="349" t="s">
        <v>16</v>
      </c>
      <c r="BL14" s="349"/>
      <c r="BM14" s="349"/>
      <c r="BN14" s="349">
        <f t="shared" ref="BN14" si="1" xml:space="preserve"> COUNTIF(C15:BH15,"&lt;&gt;--")</f>
        <v>0</v>
      </c>
      <c r="BO14" s="351" t="e">
        <f t="shared" ref="BO14" si="2">BJ14/BN14</f>
        <v>#DIV/0!</v>
      </c>
    </row>
    <row r="15" spans="2:73" ht="15" customHeight="1" thickBot="1" x14ac:dyDescent="0.25">
      <c r="B15" s="247" t="str">
        <v/>
      </c>
      <c r="C15" s="239" t="str" cm="1">
        <f t="array" ref="C15:BH15">_xlfn.XLOOKUP(C13:BH13,'[1]111W_BUILDING MATRIX'!$B$8:$B$600,'[1]111W_BUILDING MATRIX'!$H$8:$H$600,"--")</f>
        <v>--</v>
      </c>
      <c r="D15" s="239" t="str">
        <v>--</v>
      </c>
      <c r="E15" s="239" t="str">
        <v>--</v>
      </c>
      <c r="F15" s="239" t="str">
        <v>--</v>
      </c>
      <c r="G15" s="239" t="str">
        <v>--</v>
      </c>
      <c r="H15" s="239" t="str">
        <v>--</v>
      </c>
      <c r="I15" s="239" t="str">
        <v>--</v>
      </c>
      <c r="J15" s="239" t="str">
        <v>--</v>
      </c>
      <c r="K15" s="239" t="str">
        <v>--</v>
      </c>
      <c r="L15" s="239" t="str">
        <v>--</v>
      </c>
      <c r="M15" s="239" t="str">
        <v>--</v>
      </c>
      <c r="N15" s="239" t="str">
        <v>--</v>
      </c>
      <c r="O15" s="239" t="str">
        <v>--</v>
      </c>
      <c r="P15" s="239" t="str">
        <v>--</v>
      </c>
      <c r="Q15" s="239" t="str">
        <v>--</v>
      </c>
      <c r="R15" s="239" t="str">
        <v>--</v>
      </c>
      <c r="S15" s="239" t="str">
        <v>--</v>
      </c>
      <c r="T15" s="239" t="str">
        <v>--</v>
      </c>
      <c r="U15" s="239" t="str">
        <v>--</v>
      </c>
      <c r="V15" s="239" t="str">
        <v>--</v>
      </c>
      <c r="W15" s="239" t="str">
        <v>--</v>
      </c>
      <c r="X15" s="239" t="str">
        <v>--</v>
      </c>
      <c r="Y15" s="239" t="str">
        <v>--</v>
      </c>
      <c r="Z15" s="239" t="str">
        <v>--</v>
      </c>
      <c r="AA15" s="239" t="str">
        <v>--</v>
      </c>
      <c r="AB15" s="239" t="str">
        <v>--</v>
      </c>
      <c r="AC15" s="239" t="str">
        <v>--</v>
      </c>
      <c r="AD15" s="239" t="str">
        <v>--</v>
      </c>
      <c r="AE15" s="239" t="str">
        <v>--</v>
      </c>
      <c r="AF15" s="239" t="str">
        <v>--</v>
      </c>
      <c r="AG15" s="239" t="str">
        <v>--</v>
      </c>
      <c r="AH15" s="239" t="str">
        <v>--</v>
      </c>
      <c r="AI15" s="239" t="str">
        <v>--</v>
      </c>
      <c r="AJ15" s="239" t="str">
        <v>--</v>
      </c>
      <c r="AK15" s="239" t="str">
        <v>--</v>
      </c>
      <c r="AL15" s="239" t="str">
        <v>--</v>
      </c>
      <c r="AM15" s="239" t="str">
        <v>--</v>
      </c>
      <c r="AN15" s="239" t="str">
        <v>--</v>
      </c>
      <c r="AO15" s="239" t="str">
        <v>--</v>
      </c>
      <c r="AP15" s="239" t="str">
        <v>--</v>
      </c>
      <c r="AQ15" s="239" t="str">
        <v>--</v>
      </c>
      <c r="AR15" s="239" t="str">
        <v>--</v>
      </c>
      <c r="AS15" s="239" t="str">
        <v>--</v>
      </c>
      <c r="AT15" s="239" t="str">
        <v>--</v>
      </c>
      <c r="AU15" s="239" t="str">
        <v>--</v>
      </c>
      <c r="AV15" s="239" t="str">
        <v>--</v>
      </c>
      <c r="AW15" s="239" t="str">
        <v>--</v>
      </c>
      <c r="AX15" s="239" t="str">
        <v>--</v>
      </c>
      <c r="AY15" s="239" t="str">
        <v>--</v>
      </c>
      <c r="AZ15" s="239" t="str">
        <v>--</v>
      </c>
      <c r="BA15" s="239" t="str">
        <v>--</v>
      </c>
      <c r="BB15" s="239" t="str">
        <v>--</v>
      </c>
      <c r="BC15" s="239" t="str">
        <v>--</v>
      </c>
      <c r="BD15" s="239" t="str">
        <v>--</v>
      </c>
      <c r="BE15" s="239" t="str">
        <v>--</v>
      </c>
      <c r="BF15" s="239" t="str">
        <v>--</v>
      </c>
      <c r="BG15" s="239" t="str">
        <v>--</v>
      </c>
      <c r="BH15" s="239" t="str">
        <v>--</v>
      </c>
      <c r="BJ15" s="348"/>
      <c r="BK15" s="350"/>
      <c r="BL15" s="350"/>
      <c r="BM15" s="350"/>
      <c r="BN15" s="350"/>
      <c r="BO15" s="352"/>
    </row>
    <row r="16" spans="2:73" ht="18" customHeight="1" x14ac:dyDescent="0.2">
      <c r="B16" s="245" t="str">
        <v/>
      </c>
      <c r="C16" s="241" cm="1">
        <f t="array" ref="C16:BH16">$B17*100+C$5:BH$5</f>
        <v>2601</v>
      </c>
      <c r="D16" s="241">
        <v>2602</v>
      </c>
      <c r="E16" s="241">
        <v>2603</v>
      </c>
      <c r="F16" s="241">
        <v>2604</v>
      </c>
      <c r="G16" s="241">
        <v>2605</v>
      </c>
      <c r="H16" s="241">
        <v>2606</v>
      </c>
      <c r="I16" s="241">
        <v>2607</v>
      </c>
      <c r="J16" s="241">
        <v>2608</v>
      </c>
      <c r="K16" s="241">
        <v>2609</v>
      </c>
      <c r="L16" s="241">
        <v>2610</v>
      </c>
      <c r="M16" s="241">
        <v>2611</v>
      </c>
      <c r="N16" s="241">
        <v>2612</v>
      </c>
      <c r="O16" s="241">
        <v>2613</v>
      </c>
      <c r="P16" s="241">
        <v>2614</v>
      </c>
      <c r="Q16" s="241">
        <v>2615</v>
      </c>
      <c r="R16" s="241">
        <v>2616</v>
      </c>
      <c r="S16" s="241">
        <v>2617</v>
      </c>
      <c r="T16" s="241">
        <v>2618</v>
      </c>
      <c r="U16" s="241">
        <v>2619</v>
      </c>
      <c r="V16" s="241">
        <v>2620</v>
      </c>
      <c r="W16" s="241">
        <v>2621</v>
      </c>
      <c r="X16" s="241">
        <v>2622</v>
      </c>
      <c r="Y16" s="241">
        <v>2623</v>
      </c>
      <c r="Z16" s="241">
        <v>2624</v>
      </c>
      <c r="AA16" s="241">
        <v>2625</v>
      </c>
      <c r="AB16" s="241">
        <v>2626</v>
      </c>
      <c r="AC16" s="241">
        <v>2627</v>
      </c>
      <c r="AD16" s="241">
        <v>2628</v>
      </c>
      <c r="AE16" s="241">
        <v>2629</v>
      </c>
      <c r="AF16" s="241">
        <v>2630</v>
      </c>
      <c r="AG16" s="241">
        <v>2631</v>
      </c>
      <c r="AH16" s="241">
        <v>2632</v>
      </c>
      <c r="AI16" s="241">
        <v>2633</v>
      </c>
      <c r="AJ16" s="241">
        <v>2634</v>
      </c>
      <c r="AK16" s="241">
        <v>2635</v>
      </c>
      <c r="AL16" s="241">
        <v>2636</v>
      </c>
      <c r="AM16" s="241">
        <v>2637</v>
      </c>
      <c r="AN16" s="241">
        <v>2638</v>
      </c>
      <c r="AO16" s="241">
        <v>2639</v>
      </c>
      <c r="AP16" s="241">
        <v>2640</v>
      </c>
      <c r="AQ16" s="241">
        <v>2641</v>
      </c>
      <c r="AR16" s="241">
        <v>2642</v>
      </c>
      <c r="AS16" s="241">
        <v>2643</v>
      </c>
      <c r="AT16" s="241">
        <v>2644</v>
      </c>
      <c r="AU16" s="241">
        <v>2645</v>
      </c>
      <c r="AV16" s="241">
        <v>2646</v>
      </c>
      <c r="AW16" s="241">
        <v>2647</v>
      </c>
      <c r="AX16" s="241">
        <v>2648</v>
      </c>
      <c r="AY16" s="241">
        <v>2649</v>
      </c>
      <c r="AZ16" s="241">
        <v>2650</v>
      </c>
      <c r="BA16" s="241">
        <v>2651</v>
      </c>
      <c r="BB16" s="241">
        <v>2652</v>
      </c>
      <c r="BC16" s="241">
        <v>2653</v>
      </c>
      <c r="BD16" s="241">
        <v>2654</v>
      </c>
      <c r="BE16" s="241">
        <v>2655</v>
      </c>
      <c r="BF16" s="241">
        <v>2656</v>
      </c>
      <c r="BG16" s="241">
        <v>2657</v>
      </c>
      <c r="BH16" s="241">
        <v>2658</v>
      </c>
      <c r="BJ16" s="302" t="str">
        <f>B17&amp;"th FLOOR"</f>
        <v>26th FLOOR</v>
      </c>
      <c r="BK16" s="303"/>
      <c r="BL16" s="303"/>
      <c r="BM16" s="303"/>
      <c r="BN16" s="303"/>
      <c r="BO16" s="304"/>
    </row>
    <row r="17" spans="2:67" ht="14.25" customHeight="1" x14ac:dyDescent="0.2">
      <c r="B17" s="246">
        <v>26</v>
      </c>
      <c r="C17" s="240" t="str" cm="1">
        <f t="array" ref="C17:BH17">_xlfn.XLOOKUP(C16:BH16,'[1]111W_BUILDING MATRIX'!$B$8:$B$600,'[1]111W_BUILDING MATRIX'!$E$8:$E$600,"--")</f>
        <v>--</v>
      </c>
      <c r="D17" s="240" t="str">
        <v>--</v>
      </c>
      <c r="E17" s="240" t="str">
        <v>--</v>
      </c>
      <c r="F17" s="240" t="str">
        <v>--</v>
      </c>
      <c r="G17" s="240" t="str">
        <v>--</v>
      </c>
      <c r="H17" s="240" t="str">
        <v>--</v>
      </c>
      <c r="I17" s="240" t="str">
        <v>--</v>
      </c>
      <c r="J17" s="240" t="str">
        <v>--</v>
      </c>
      <c r="K17" s="240" t="str">
        <v>--</v>
      </c>
      <c r="L17" s="240" t="str">
        <v>--</v>
      </c>
      <c r="M17" s="240" t="str">
        <v>--</v>
      </c>
      <c r="N17" s="240" t="str">
        <v>--</v>
      </c>
      <c r="O17" s="240" t="str">
        <v>--</v>
      </c>
      <c r="P17" s="240" t="str">
        <v>--</v>
      </c>
      <c r="Q17" s="240" t="str">
        <v>--</v>
      </c>
      <c r="R17" s="240" t="str">
        <v>--</v>
      </c>
      <c r="S17" s="240" t="str">
        <v>--</v>
      </c>
      <c r="T17" s="240" t="str">
        <v>--</v>
      </c>
      <c r="U17" s="240" t="str">
        <v>--</v>
      </c>
      <c r="V17" s="240" t="str">
        <v>--</v>
      </c>
      <c r="W17" s="240" t="str">
        <v>--</v>
      </c>
      <c r="X17" s="240" t="str">
        <v>--</v>
      </c>
      <c r="Y17" s="240" t="str">
        <v>--</v>
      </c>
      <c r="Z17" s="240" t="str">
        <v>--</v>
      </c>
      <c r="AA17" s="240" t="str">
        <v>--</v>
      </c>
      <c r="AB17" s="240" t="str">
        <v>--</v>
      </c>
      <c r="AC17" s="240" t="str">
        <v>--</v>
      </c>
      <c r="AD17" s="240" t="str">
        <v>--</v>
      </c>
      <c r="AE17" s="240" t="str">
        <v>--</v>
      </c>
      <c r="AF17" s="240" t="str">
        <v>--</v>
      </c>
      <c r="AG17" s="240" t="str">
        <v>--</v>
      </c>
      <c r="AH17" s="240" t="str">
        <v>--</v>
      </c>
      <c r="AI17" s="240" t="str">
        <v>--</v>
      </c>
      <c r="AJ17" s="240" t="str">
        <v>--</v>
      </c>
      <c r="AK17" s="240" t="str">
        <v>--</v>
      </c>
      <c r="AL17" s="240" t="str">
        <v>--</v>
      </c>
      <c r="AM17" s="240" t="str">
        <v>--</v>
      </c>
      <c r="AN17" s="240" t="str">
        <v>--</v>
      </c>
      <c r="AO17" s="240" t="str">
        <v>--</v>
      </c>
      <c r="AP17" s="240" t="str">
        <v>--</v>
      </c>
      <c r="AQ17" s="240" t="str">
        <v>--</v>
      </c>
      <c r="AR17" s="240" t="str">
        <v>--</v>
      </c>
      <c r="AS17" s="240" t="str">
        <v>--</v>
      </c>
      <c r="AT17" s="240" t="str">
        <v>--</v>
      </c>
      <c r="AU17" s="240" t="str">
        <v>--</v>
      </c>
      <c r="AV17" s="240" t="str">
        <v>--</v>
      </c>
      <c r="AW17" s="240" t="str">
        <v>--</v>
      </c>
      <c r="AX17" s="240" t="str">
        <v>--</v>
      </c>
      <c r="AY17" s="240" t="str">
        <v>--</v>
      </c>
      <c r="AZ17" s="240" t="str">
        <v>--</v>
      </c>
      <c r="BA17" s="240" t="str">
        <v>--</v>
      </c>
      <c r="BB17" s="240" t="str">
        <v>--</v>
      </c>
      <c r="BC17" s="240" t="str">
        <v>--</v>
      </c>
      <c r="BD17" s="240" t="str">
        <v>--</v>
      </c>
      <c r="BE17" s="240" t="str">
        <v>--</v>
      </c>
      <c r="BF17" s="240" t="str">
        <v>--</v>
      </c>
      <c r="BG17" s="240" t="str">
        <v>--</v>
      </c>
      <c r="BH17" s="240" t="str">
        <v>--</v>
      </c>
      <c r="BJ17" s="347">
        <f t="shared" ref="BJ17" si="3">COUNTIF(C18:BH18, "D")</f>
        <v>0</v>
      </c>
      <c r="BK17" s="349" t="s">
        <v>16</v>
      </c>
      <c r="BL17" s="349"/>
      <c r="BM17" s="349"/>
      <c r="BN17" s="349">
        <f t="shared" ref="BN17" si="4" xml:space="preserve"> COUNTIF(C18:BH18,"&lt;&gt;--")</f>
        <v>0</v>
      </c>
      <c r="BO17" s="351" t="e">
        <f t="shared" ref="BO17" si="5">BJ17/BN17</f>
        <v>#DIV/0!</v>
      </c>
    </row>
    <row r="18" spans="2:67" ht="15" customHeight="1" thickBot="1" x14ac:dyDescent="0.25">
      <c r="B18" s="247" t="str">
        <v/>
      </c>
      <c r="C18" s="239" t="str" cm="1">
        <f t="array" ref="C18:BH18">_xlfn.XLOOKUP(C16:BH16,'[1]111W_BUILDING MATRIX'!$B$8:$B$600,'[1]111W_BUILDING MATRIX'!$H$8:$H$600,"--")</f>
        <v>--</v>
      </c>
      <c r="D18" s="239" t="str">
        <v>--</v>
      </c>
      <c r="E18" s="239" t="str">
        <v>--</v>
      </c>
      <c r="F18" s="239" t="str">
        <v>--</v>
      </c>
      <c r="G18" s="239" t="str">
        <v>--</v>
      </c>
      <c r="H18" s="239" t="str">
        <v>--</v>
      </c>
      <c r="I18" s="239" t="str">
        <v>--</v>
      </c>
      <c r="J18" s="239" t="str">
        <v>--</v>
      </c>
      <c r="K18" s="239" t="str">
        <v>--</v>
      </c>
      <c r="L18" s="239" t="str">
        <v>--</v>
      </c>
      <c r="M18" s="239" t="str">
        <v>--</v>
      </c>
      <c r="N18" s="239" t="str">
        <v>--</v>
      </c>
      <c r="O18" s="239" t="str">
        <v>--</v>
      </c>
      <c r="P18" s="239" t="str">
        <v>--</v>
      </c>
      <c r="Q18" s="239" t="str">
        <v>--</v>
      </c>
      <c r="R18" s="239" t="str">
        <v>--</v>
      </c>
      <c r="S18" s="239" t="str">
        <v>--</v>
      </c>
      <c r="T18" s="239" t="str">
        <v>--</v>
      </c>
      <c r="U18" s="239" t="str">
        <v>--</v>
      </c>
      <c r="V18" s="239" t="str">
        <v>--</v>
      </c>
      <c r="W18" s="239" t="str">
        <v>--</v>
      </c>
      <c r="X18" s="239" t="str">
        <v>--</v>
      </c>
      <c r="Y18" s="239" t="str">
        <v>--</v>
      </c>
      <c r="Z18" s="239" t="str">
        <v>--</v>
      </c>
      <c r="AA18" s="239" t="str">
        <v>--</v>
      </c>
      <c r="AB18" s="239" t="str">
        <v>--</v>
      </c>
      <c r="AC18" s="239" t="str">
        <v>--</v>
      </c>
      <c r="AD18" s="239" t="str">
        <v>--</v>
      </c>
      <c r="AE18" s="239" t="str">
        <v>--</v>
      </c>
      <c r="AF18" s="239" t="str">
        <v>--</v>
      </c>
      <c r="AG18" s="239" t="str">
        <v>--</v>
      </c>
      <c r="AH18" s="239" t="str">
        <v>--</v>
      </c>
      <c r="AI18" s="239" t="str">
        <v>--</v>
      </c>
      <c r="AJ18" s="239" t="str">
        <v>--</v>
      </c>
      <c r="AK18" s="239" t="str">
        <v>--</v>
      </c>
      <c r="AL18" s="239" t="str">
        <v>--</v>
      </c>
      <c r="AM18" s="239" t="str">
        <v>--</v>
      </c>
      <c r="AN18" s="239" t="str">
        <v>--</v>
      </c>
      <c r="AO18" s="239" t="str">
        <v>--</v>
      </c>
      <c r="AP18" s="239" t="str">
        <v>--</v>
      </c>
      <c r="AQ18" s="239" t="str">
        <v>--</v>
      </c>
      <c r="AR18" s="239" t="str">
        <v>--</v>
      </c>
      <c r="AS18" s="239" t="str">
        <v>--</v>
      </c>
      <c r="AT18" s="239" t="str">
        <v>--</v>
      </c>
      <c r="AU18" s="239" t="str">
        <v>--</v>
      </c>
      <c r="AV18" s="239" t="str">
        <v>--</v>
      </c>
      <c r="AW18" s="239" t="str">
        <v>--</v>
      </c>
      <c r="AX18" s="239" t="str">
        <v>--</v>
      </c>
      <c r="AY18" s="239" t="str">
        <v>--</v>
      </c>
      <c r="AZ18" s="239" t="str">
        <v>--</v>
      </c>
      <c r="BA18" s="239" t="str">
        <v>--</v>
      </c>
      <c r="BB18" s="239" t="str">
        <v>--</v>
      </c>
      <c r="BC18" s="239" t="str">
        <v>--</v>
      </c>
      <c r="BD18" s="239" t="str">
        <v>--</v>
      </c>
      <c r="BE18" s="239" t="str">
        <v>--</v>
      </c>
      <c r="BF18" s="239" t="str">
        <v>--</v>
      </c>
      <c r="BG18" s="239" t="str">
        <v>--</v>
      </c>
      <c r="BH18" s="239" t="str">
        <v>--</v>
      </c>
      <c r="BJ18" s="348"/>
      <c r="BK18" s="350"/>
      <c r="BL18" s="350"/>
      <c r="BM18" s="350"/>
      <c r="BN18" s="350"/>
      <c r="BO18" s="352"/>
    </row>
    <row r="19" spans="2:67" ht="18" customHeight="1" x14ac:dyDescent="0.2">
      <c r="B19" s="245" t="str">
        <v/>
      </c>
      <c r="C19" s="241" cm="1">
        <f t="array" ref="C19:BH19">$B20*100+C$5:BH$5</f>
        <v>2501</v>
      </c>
      <c r="D19" s="241">
        <v>2502</v>
      </c>
      <c r="E19" s="241">
        <v>2503</v>
      </c>
      <c r="F19" s="241">
        <v>2504</v>
      </c>
      <c r="G19" s="241">
        <v>2505</v>
      </c>
      <c r="H19" s="241">
        <v>2506</v>
      </c>
      <c r="I19" s="241">
        <v>2507</v>
      </c>
      <c r="J19" s="241">
        <v>2508</v>
      </c>
      <c r="K19" s="241">
        <v>2509</v>
      </c>
      <c r="L19" s="241">
        <v>2510</v>
      </c>
      <c r="M19" s="241">
        <v>2511</v>
      </c>
      <c r="N19" s="241">
        <v>2512</v>
      </c>
      <c r="O19" s="241">
        <v>2513</v>
      </c>
      <c r="P19" s="241">
        <v>2514</v>
      </c>
      <c r="Q19" s="241">
        <v>2515</v>
      </c>
      <c r="R19" s="241">
        <v>2516</v>
      </c>
      <c r="S19" s="241">
        <v>2517</v>
      </c>
      <c r="T19" s="241">
        <v>2518</v>
      </c>
      <c r="U19" s="241">
        <v>2519</v>
      </c>
      <c r="V19" s="241">
        <v>2520</v>
      </c>
      <c r="W19" s="241">
        <v>2521</v>
      </c>
      <c r="X19" s="241">
        <v>2522</v>
      </c>
      <c r="Y19" s="241">
        <v>2523</v>
      </c>
      <c r="Z19" s="241">
        <v>2524</v>
      </c>
      <c r="AA19" s="241">
        <v>2525</v>
      </c>
      <c r="AB19" s="241">
        <v>2526</v>
      </c>
      <c r="AC19" s="241">
        <v>2527</v>
      </c>
      <c r="AD19" s="241">
        <v>2528</v>
      </c>
      <c r="AE19" s="241">
        <v>2529</v>
      </c>
      <c r="AF19" s="241">
        <v>2530</v>
      </c>
      <c r="AG19" s="241">
        <v>2531</v>
      </c>
      <c r="AH19" s="241">
        <v>2532</v>
      </c>
      <c r="AI19" s="241">
        <v>2533</v>
      </c>
      <c r="AJ19" s="241">
        <v>2534</v>
      </c>
      <c r="AK19" s="241">
        <v>2535</v>
      </c>
      <c r="AL19" s="241">
        <v>2536</v>
      </c>
      <c r="AM19" s="241">
        <v>2537</v>
      </c>
      <c r="AN19" s="241">
        <v>2538</v>
      </c>
      <c r="AO19" s="241">
        <v>2539</v>
      </c>
      <c r="AP19" s="241">
        <v>2540</v>
      </c>
      <c r="AQ19" s="241">
        <v>2541</v>
      </c>
      <c r="AR19" s="241">
        <v>2542</v>
      </c>
      <c r="AS19" s="241">
        <v>2543</v>
      </c>
      <c r="AT19" s="241">
        <v>2544</v>
      </c>
      <c r="AU19" s="241">
        <v>2545</v>
      </c>
      <c r="AV19" s="241">
        <v>2546</v>
      </c>
      <c r="AW19" s="241">
        <v>2547</v>
      </c>
      <c r="AX19" s="241">
        <v>2548</v>
      </c>
      <c r="AY19" s="241">
        <v>2549</v>
      </c>
      <c r="AZ19" s="241">
        <v>2550</v>
      </c>
      <c r="BA19" s="241">
        <v>2551</v>
      </c>
      <c r="BB19" s="241">
        <v>2552</v>
      </c>
      <c r="BC19" s="241">
        <v>2553</v>
      </c>
      <c r="BD19" s="241">
        <v>2554</v>
      </c>
      <c r="BE19" s="241">
        <v>2555</v>
      </c>
      <c r="BF19" s="241">
        <v>2556</v>
      </c>
      <c r="BG19" s="241">
        <v>2557</v>
      </c>
      <c r="BH19" s="241">
        <v>2558</v>
      </c>
      <c r="BJ19" s="302" t="str">
        <f>B20&amp;"th FLOOR"</f>
        <v>25th FLOOR</v>
      </c>
      <c r="BK19" s="303"/>
      <c r="BL19" s="303"/>
      <c r="BM19" s="303"/>
      <c r="BN19" s="303"/>
      <c r="BO19" s="304"/>
    </row>
    <row r="20" spans="2:67" ht="14.25" customHeight="1" x14ac:dyDescent="0.2">
      <c r="B20" s="246">
        <v>25</v>
      </c>
      <c r="C20" s="240" t="str" cm="1">
        <f t="array" ref="C20:BH20">_xlfn.XLOOKUP(C19:BH19,'[1]111W_BUILDING MATRIX'!$B$8:$B$600,'[1]111W_BUILDING MATRIX'!$E$8:$E$600,"--")</f>
        <v>--</v>
      </c>
      <c r="D20" s="240" t="str">
        <v>--</v>
      </c>
      <c r="E20" s="240" t="str">
        <v>--</v>
      </c>
      <c r="F20" s="240" t="str">
        <v>--</v>
      </c>
      <c r="G20" s="240" t="str">
        <v>--</v>
      </c>
      <c r="H20" s="240" t="str">
        <v>--</v>
      </c>
      <c r="I20" s="240" t="str">
        <v>--</v>
      </c>
      <c r="J20" s="240" t="str">
        <v>--</v>
      </c>
      <c r="K20" s="240" t="str">
        <v>--</v>
      </c>
      <c r="L20" s="240" t="str">
        <v>--</v>
      </c>
      <c r="M20" s="240" t="str">
        <v>--</v>
      </c>
      <c r="N20" s="240" t="str">
        <v>--</v>
      </c>
      <c r="O20" s="240" t="str">
        <v>--</v>
      </c>
      <c r="P20" s="240" t="str">
        <v>--</v>
      </c>
      <c r="Q20" s="240" t="str">
        <v>--</v>
      </c>
      <c r="R20" s="240" t="str">
        <v>--</v>
      </c>
      <c r="S20" s="240" t="str">
        <v>--</v>
      </c>
      <c r="T20" s="240" t="str">
        <v>--</v>
      </c>
      <c r="U20" s="240" t="str">
        <v>--</v>
      </c>
      <c r="V20" s="240" t="str">
        <v>--</v>
      </c>
      <c r="W20" s="240" t="str">
        <v>--</v>
      </c>
      <c r="X20" s="240" t="str">
        <v>--</v>
      </c>
      <c r="Y20" s="240" t="str">
        <v>--</v>
      </c>
      <c r="Z20" s="240" t="str">
        <v>--</v>
      </c>
      <c r="AA20" s="240" t="str">
        <v>--</v>
      </c>
      <c r="AB20" s="240" t="str">
        <v>--</v>
      </c>
      <c r="AC20" s="240" t="str">
        <v>--</v>
      </c>
      <c r="AD20" s="240" t="str">
        <v>--</v>
      </c>
      <c r="AE20" s="240" t="str">
        <v>--</v>
      </c>
      <c r="AF20" s="240" t="str">
        <v>--</v>
      </c>
      <c r="AG20" s="240" t="str">
        <v>--</v>
      </c>
      <c r="AH20" s="240" t="str">
        <v>--</v>
      </c>
      <c r="AI20" s="240" t="str">
        <v>--</v>
      </c>
      <c r="AJ20" s="240" t="str">
        <v>--</v>
      </c>
      <c r="AK20" s="240" t="str">
        <v>--</v>
      </c>
      <c r="AL20" s="240" t="str">
        <v>--</v>
      </c>
      <c r="AM20" s="240" t="str">
        <v>--</v>
      </c>
      <c r="AN20" s="240" t="str">
        <v>--</v>
      </c>
      <c r="AO20" s="240" t="str">
        <v>--</v>
      </c>
      <c r="AP20" s="240" t="str">
        <v>--</v>
      </c>
      <c r="AQ20" s="240" t="str">
        <v>--</v>
      </c>
      <c r="AR20" s="240" t="str">
        <v>--</v>
      </c>
      <c r="AS20" s="240" t="str">
        <v>--</v>
      </c>
      <c r="AT20" s="240" t="str">
        <v>--</v>
      </c>
      <c r="AU20" s="240" t="str">
        <v>--</v>
      </c>
      <c r="AV20" s="240" t="str">
        <v>--</v>
      </c>
      <c r="AW20" s="240" t="str">
        <v>--</v>
      </c>
      <c r="AX20" s="240" t="str">
        <v>--</v>
      </c>
      <c r="AY20" s="240" t="str">
        <v>--</v>
      </c>
      <c r="AZ20" s="240" t="str">
        <v>--</v>
      </c>
      <c r="BA20" s="240" t="str">
        <v>--</v>
      </c>
      <c r="BB20" s="240" t="str">
        <v>--</v>
      </c>
      <c r="BC20" s="240" t="str">
        <v>--</v>
      </c>
      <c r="BD20" s="240" t="str">
        <v>--</v>
      </c>
      <c r="BE20" s="240" t="str">
        <v>--</v>
      </c>
      <c r="BF20" s="240" t="str">
        <v>--</v>
      </c>
      <c r="BG20" s="240" t="str">
        <v>--</v>
      </c>
      <c r="BH20" s="240" t="str">
        <v>--</v>
      </c>
      <c r="BJ20" s="347">
        <f t="shared" ref="BJ20" si="6">COUNTIF(C21:BH21, "D")</f>
        <v>0</v>
      </c>
      <c r="BK20" s="349" t="s">
        <v>16</v>
      </c>
      <c r="BL20" s="349"/>
      <c r="BM20" s="349"/>
      <c r="BN20" s="349">
        <f t="shared" ref="BN20" si="7" xml:space="preserve"> COUNTIF(C21:BH21,"&lt;&gt;--")</f>
        <v>0</v>
      </c>
      <c r="BO20" s="351" t="e">
        <f t="shared" ref="BO20" si="8">BJ20/BN20</f>
        <v>#DIV/0!</v>
      </c>
    </row>
    <row r="21" spans="2:67" ht="15" customHeight="1" thickBot="1" x14ac:dyDescent="0.25">
      <c r="B21" s="247" t="str">
        <v/>
      </c>
      <c r="C21" s="239" t="str" cm="1">
        <f t="array" ref="C21:BH21">_xlfn.XLOOKUP(C19:BH19,'[1]111W_BUILDING MATRIX'!$B$8:$B$600,'[1]111W_BUILDING MATRIX'!$H$8:$H$600,"--")</f>
        <v>--</v>
      </c>
      <c r="D21" s="239" t="str">
        <v>--</v>
      </c>
      <c r="E21" s="239" t="str">
        <v>--</v>
      </c>
      <c r="F21" s="239" t="str">
        <v>--</v>
      </c>
      <c r="G21" s="239" t="str">
        <v>--</v>
      </c>
      <c r="H21" s="239" t="str">
        <v>--</v>
      </c>
      <c r="I21" s="239" t="str">
        <v>--</v>
      </c>
      <c r="J21" s="239" t="str">
        <v>--</v>
      </c>
      <c r="K21" s="239" t="str">
        <v>--</v>
      </c>
      <c r="L21" s="239" t="str">
        <v>--</v>
      </c>
      <c r="M21" s="239" t="str">
        <v>--</v>
      </c>
      <c r="N21" s="239" t="str">
        <v>--</v>
      </c>
      <c r="O21" s="239" t="str">
        <v>--</v>
      </c>
      <c r="P21" s="239" t="str">
        <v>--</v>
      </c>
      <c r="Q21" s="239" t="str">
        <v>--</v>
      </c>
      <c r="R21" s="239" t="str">
        <v>--</v>
      </c>
      <c r="S21" s="239" t="str">
        <v>--</v>
      </c>
      <c r="T21" s="239" t="str">
        <v>--</v>
      </c>
      <c r="U21" s="239" t="str">
        <v>--</v>
      </c>
      <c r="V21" s="239" t="str">
        <v>--</v>
      </c>
      <c r="W21" s="239" t="str">
        <v>--</v>
      </c>
      <c r="X21" s="239" t="str">
        <v>--</v>
      </c>
      <c r="Y21" s="239" t="str">
        <v>--</v>
      </c>
      <c r="Z21" s="239" t="str">
        <v>--</v>
      </c>
      <c r="AA21" s="239" t="str">
        <v>--</v>
      </c>
      <c r="AB21" s="239" t="str">
        <v>--</v>
      </c>
      <c r="AC21" s="239" t="str">
        <v>--</v>
      </c>
      <c r="AD21" s="239" t="str">
        <v>--</v>
      </c>
      <c r="AE21" s="239" t="str">
        <v>--</v>
      </c>
      <c r="AF21" s="239" t="str">
        <v>--</v>
      </c>
      <c r="AG21" s="239" t="str">
        <v>--</v>
      </c>
      <c r="AH21" s="239" t="str">
        <v>--</v>
      </c>
      <c r="AI21" s="239" t="str">
        <v>--</v>
      </c>
      <c r="AJ21" s="239" t="str">
        <v>--</v>
      </c>
      <c r="AK21" s="239" t="str">
        <v>--</v>
      </c>
      <c r="AL21" s="239" t="str">
        <v>--</v>
      </c>
      <c r="AM21" s="239" t="str">
        <v>--</v>
      </c>
      <c r="AN21" s="239" t="str">
        <v>--</v>
      </c>
      <c r="AO21" s="239" t="str">
        <v>--</v>
      </c>
      <c r="AP21" s="239" t="str">
        <v>--</v>
      </c>
      <c r="AQ21" s="239" t="str">
        <v>--</v>
      </c>
      <c r="AR21" s="239" t="str">
        <v>--</v>
      </c>
      <c r="AS21" s="239" t="str">
        <v>--</v>
      </c>
      <c r="AT21" s="239" t="str">
        <v>--</v>
      </c>
      <c r="AU21" s="239" t="str">
        <v>--</v>
      </c>
      <c r="AV21" s="239" t="str">
        <v>--</v>
      </c>
      <c r="AW21" s="239" t="str">
        <v>--</v>
      </c>
      <c r="AX21" s="239" t="str">
        <v>--</v>
      </c>
      <c r="AY21" s="239" t="str">
        <v>--</v>
      </c>
      <c r="AZ21" s="239" t="str">
        <v>--</v>
      </c>
      <c r="BA21" s="239" t="str">
        <v>--</v>
      </c>
      <c r="BB21" s="239" t="str">
        <v>--</v>
      </c>
      <c r="BC21" s="239" t="str">
        <v>--</v>
      </c>
      <c r="BD21" s="239" t="str">
        <v>--</v>
      </c>
      <c r="BE21" s="239" t="str">
        <v>--</v>
      </c>
      <c r="BF21" s="239" t="str">
        <v>--</v>
      </c>
      <c r="BG21" s="239" t="str">
        <v>--</v>
      </c>
      <c r="BH21" s="239" t="str">
        <v>--</v>
      </c>
      <c r="BJ21" s="348"/>
      <c r="BK21" s="350"/>
      <c r="BL21" s="350"/>
      <c r="BM21" s="350"/>
      <c r="BN21" s="350"/>
      <c r="BO21" s="352"/>
    </row>
    <row r="22" spans="2:67" ht="18" customHeight="1" x14ac:dyDescent="0.2">
      <c r="B22" s="245" t="str">
        <v/>
      </c>
      <c r="C22" s="241" cm="1">
        <f t="array" ref="C22:BH22">$B23*100+C$5:BH$5</f>
        <v>2401</v>
      </c>
      <c r="D22" s="241">
        <v>2402</v>
      </c>
      <c r="E22" s="241">
        <v>2403</v>
      </c>
      <c r="F22" s="241">
        <v>2404</v>
      </c>
      <c r="G22" s="241">
        <v>2405</v>
      </c>
      <c r="H22" s="241">
        <v>2406</v>
      </c>
      <c r="I22" s="241">
        <v>2407</v>
      </c>
      <c r="J22" s="241">
        <v>2408</v>
      </c>
      <c r="K22" s="241">
        <v>2409</v>
      </c>
      <c r="L22" s="241">
        <v>2410</v>
      </c>
      <c r="M22" s="241">
        <v>2411</v>
      </c>
      <c r="N22" s="241">
        <v>2412</v>
      </c>
      <c r="O22" s="241">
        <v>2413</v>
      </c>
      <c r="P22" s="241">
        <v>2414</v>
      </c>
      <c r="Q22" s="241">
        <v>2415</v>
      </c>
      <c r="R22" s="241">
        <v>2416</v>
      </c>
      <c r="S22" s="241">
        <v>2417</v>
      </c>
      <c r="T22" s="241">
        <v>2418</v>
      </c>
      <c r="U22" s="241">
        <v>2419</v>
      </c>
      <c r="V22" s="241">
        <v>2420</v>
      </c>
      <c r="W22" s="241">
        <v>2421</v>
      </c>
      <c r="X22" s="241">
        <v>2422</v>
      </c>
      <c r="Y22" s="241">
        <v>2423</v>
      </c>
      <c r="Z22" s="241">
        <v>2424</v>
      </c>
      <c r="AA22" s="241">
        <v>2425</v>
      </c>
      <c r="AB22" s="241">
        <v>2426</v>
      </c>
      <c r="AC22" s="241">
        <v>2427</v>
      </c>
      <c r="AD22" s="241">
        <v>2428</v>
      </c>
      <c r="AE22" s="241">
        <v>2429</v>
      </c>
      <c r="AF22" s="241">
        <v>2430</v>
      </c>
      <c r="AG22" s="241">
        <v>2431</v>
      </c>
      <c r="AH22" s="241">
        <v>2432</v>
      </c>
      <c r="AI22" s="241">
        <v>2433</v>
      </c>
      <c r="AJ22" s="241">
        <v>2434</v>
      </c>
      <c r="AK22" s="241">
        <v>2435</v>
      </c>
      <c r="AL22" s="241">
        <v>2436</v>
      </c>
      <c r="AM22" s="241">
        <v>2437</v>
      </c>
      <c r="AN22" s="241">
        <v>2438</v>
      </c>
      <c r="AO22" s="241">
        <v>2439</v>
      </c>
      <c r="AP22" s="241">
        <v>2440</v>
      </c>
      <c r="AQ22" s="241">
        <v>2441</v>
      </c>
      <c r="AR22" s="241">
        <v>2442</v>
      </c>
      <c r="AS22" s="241">
        <v>2443</v>
      </c>
      <c r="AT22" s="241">
        <v>2444</v>
      </c>
      <c r="AU22" s="241">
        <v>2445</v>
      </c>
      <c r="AV22" s="241">
        <v>2446</v>
      </c>
      <c r="AW22" s="241">
        <v>2447</v>
      </c>
      <c r="AX22" s="241">
        <v>2448</v>
      </c>
      <c r="AY22" s="241">
        <v>2449</v>
      </c>
      <c r="AZ22" s="241">
        <v>2450</v>
      </c>
      <c r="BA22" s="241">
        <v>2451</v>
      </c>
      <c r="BB22" s="241">
        <v>2452</v>
      </c>
      <c r="BC22" s="241">
        <v>2453</v>
      </c>
      <c r="BD22" s="241">
        <v>2454</v>
      </c>
      <c r="BE22" s="241">
        <v>2455</v>
      </c>
      <c r="BF22" s="241">
        <v>2456</v>
      </c>
      <c r="BG22" s="241">
        <v>2457</v>
      </c>
      <c r="BH22" s="241">
        <v>2458</v>
      </c>
      <c r="BJ22" s="302" t="str">
        <f>B23&amp;"th FLOOR"</f>
        <v>24th FLOOR</v>
      </c>
      <c r="BK22" s="303"/>
      <c r="BL22" s="303"/>
      <c r="BM22" s="303"/>
      <c r="BN22" s="303"/>
      <c r="BO22" s="304"/>
    </row>
    <row r="23" spans="2:67" ht="14.25" customHeight="1" x14ac:dyDescent="0.2">
      <c r="B23" s="246">
        <v>24</v>
      </c>
      <c r="C23" s="240" t="str" cm="1">
        <f t="array" ref="C23:BH23">_xlfn.XLOOKUP(C22:BH22,'[1]111W_BUILDING MATRIX'!$B$8:$B$600,'[1]111W_BUILDING MATRIX'!$E$8:$E$600,"--")</f>
        <v>--</v>
      </c>
      <c r="D23" s="240" t="str">
        <v>--</v>
      </c>
      <c r="E23" s="240" t="str">
        <v>--</v>
      </c>
      <c r="F23" s="240" t="str">
        <v>--</v>
      </c>
      <c r="G23" s="240" t="str">
        <v>--</v>
      </c>
      <c r="H23" s="240" t="str">
        <v>--</v>
      </c>
      <c r="I23" s="240" t="str">
        <v>--</v>
      </c>
      <c r="J23" s="240" t="str">
        <v>--</v>
      </c>
      <c r="K23" s="240" t="str">
        <v>--</v>
      </c>
      <c r="L23" s="240" t="str">
        <v>--</v>
      </c>
      <c r="M23" s="240" t="str">
        <v>--</v>
      </c>
      <c r="N23" s="240" t="str">
        <v>--</v>
      </c>
      <c r="O23" s="240" t="str">
        <v>--</v>
      </c>
      <c r="P23" s="240" t="str">
        <v>--</v>
      </c>
      <c r="Q23" s="240" t="str">
        <v>--</v>
      </c>
      <c r="R23" s="240" t="str">
        <v>--</v>
      </c>
      <c r="S23" s="240" t="str">
        <v>--</v>
      </c>
      <c r="T23" s="240" t="str">
        <v>--</v>
      </c>
      <c r="U23" s="240" t="str">
        <v>--</v>
      </c>
      <c r="V23" s="240" t="str">
        <v>--</v>
      </c>
      <c r="W23" s="240" t="str">
        <v>--</v>
      </c>
      <c r="X23" s="240" t="str">
        <v>--</v>
      </c>
      <c r="Y23" s="240" t="str">
        <v>--</v>
      </c>
      <c r="Z23" s="240" t="str">
        <v>--</v>
      </c>
      <c r="AA23" s="240" t="str">
        <v>--</v>
      </c>
      <c r="AB23" s="240" t="str">
        <v>--</v>
      </c>
      <c r="AC23" s="240" t="str">
        <v>--</v>
      </c>
      <c r="AD23" s="240" t="str">
        <v>--</v>
      </c>
      <c r="AE23" s="240" t="str">
        <v>--</v>
      </c>
      <c r="AF23" s="240" t="str">
        <v>--</v>
      </c>
      <c r="AG23" s="240" t="str">
        <v>--</v>
      </c>
      <c r="AH23" s="240" t="str">
        <v>--</v>
      </c>
      <c r="AI23" s="240" t="str">
        <v>--</v>
      </c>
      <c r="AJ23" s="240" t="str">
        <v>--</v>
      </c>
      <c r="AK23" s="240" t="str">
        <v>--</v>
      </c>
      <c r="AL23" s="240" t="str">
        <v>--</v>
      </c>
      <c r="AM23" s="240" t="str">
        <v>--</v>
      </c>
      <c r="AN23" s="240" t="str">
        <v>--</v>
      </c>
      <c r="AO23" s="240" t="str">
        <v>--</v>
      </c>
      <c r="AP23" s="240" t="str">
        <v>--</v>
      </c>
      <c r="AQ23" s="240" t="str">
        <v>--</v>
      </c>
      <c r="AR23" s="240" t="str">
        <v>--</v>
      </c>
      <c r="AS23" s="240" t="str">
        <v>--</v>
      </c>
      <c r="AT23" s="240" t="str">
        <v>--</v>
      </c>
      <c r="AU23" s="240" t="str">
        <v>--</v>
      </c>
      <c r="AV23" s="240" t="str">
        <v>--</v>
      </c>
      <c r="AW23" s="240" t="str">
        <v>--</v>
      </c>
      <c r="AX23" s="240" t="str">
        <v>--</v>
      </c>
      <c r="AY23" s="240" t="str">
        <v>--</v>
      </c>
      <c r="AZ23" s="240" t="str">
        <v>--</v>
      </c>
      <c r="BA23" s="240" t="str">
        <v>--</v>
      </c>
      <c r="BB23" s="240" t="str">
        <v>--</v>
      </c>
      <c r="BC23" s="240" t="str">
        <v>--</v>
      </c>
      <c r="BD23" s="240" t="str">
        <v>--</v>
      </c>
      <c r="BE23" s="240" t="str">
        <v>--</v>
      </c>
      <c r="BF23" s="240" t="str">
        <v>--</v>
      </c>
      <c r="BG23" s="240" t="str">
        <v>--</v>
      </c>
      <c r="BH23" s="240" t="str">
        <v>--</v>
      </c>
      <c r="BJ23" s="347">
        <f t="shared" ref="BJ23" si="9">COUNTIF(C24:BH24, "D")</f>
        <v>0</v>
      </c>
      <c r="BK23" s="349" t="s">
        <v>16</v>
      </c>
      <c r="BL23" s="349"/>
      <c r="BM23" s="349"/>
      <c r="BN23" s="349">
        <f t="shared" ref="BN23" si="10" xml:space="preserve"> COUNTIF(C24:BH24,"&lt;&gt;--")</f>
        <v>0</v>
      </c>
      <c r="BO23" s="351" t="e">
        <f t="shared" ref="BO23" si="11">BJ23/BN23</f>
        <v>#DIV/0!</v>
      </c>
    </row>
    <row r="24" spans="2:67" ht="15" customHeight="1" thickBot="1" x14ac:dyDescent="0.25">
      <c r="B24" s="247" t="str">
        <v/>
      </c>
      <c r="C24" s="239" t="str" cm="1">
        <f t="array" ref="C24:BH24">_xlfn.XLOOKUP(C22:BH22,'[1]111W_BUILDING MATRIX'!$B$8:$B$600,'[1]111W_BUILDING MATRIX'!$H$8:$H$600,"--")</f>
        <v>--</v>
      </c>
      <c r="D24" s="239" t="str">
        <v>--</v>
      </c>
      <c r="E24" s="239" t="str">
        <v>--</v>
      </c>
      <c r="F24" s="239" t="str">
        <v>--</v>
      </c>
      <c r="G24" s="239" t="str">
        <v>--</v>
      </c>
      <c r="H24" s="239" t="str">
        <v>--</v>
      </c>
      <c r="I24" s="239" t="str">
        <v>--</v>
      </c>
      <c r="J24" s="239" t="str">
        <v>--</v>
      </c>
      <c r="K24" s="239" t="str">
        <v>--</v>
      </c>
      <c r="L24" s="239" t="str">
        <v>--</v>
      </c>
      <c r="M24" s="239" t="str">
        <v>--</v>
      </c>
      <c r="N24" s="239" t="str">
        <v>--</v>
      </c>
      <c r="O24" s="239" t="str">
        <v>--</v>
      </c>
      <c r="P24" s="239" t="str">
        <v>--</v>
      </c>
      <c r="Q24" s="239" t="str">
        <v>--</v>
      </c>
      <c r="R24" s="239" t="str">
        <v>--</v>
      </c>
      <c r="S24" s="239" t="str">
        <v>--</v>
      </c>
      <c r="T24" s="239" t="str">
        <v>--</v>
      </c>
      <c r="U24" s="239" t="str">
        <v>--</v>
      </c>
      <c r="V24" s="239" t="str">
        <v>--</v>
      </c>
      <c r="W24" s="239" t="str">
        <v>--</v>
      </c>
      <c r="X24" s="239" t="str">
        <v>--</v>
      </c>
      <c r="Y24" s="239" t="str">
        <v>--</v>
      </c>
      <c r="Z24" s="239" t="str">
        <v>--</v>
      </c>
      <c r="AA24" s="239" t="str">
        <v>--</v>
      </c>
      <c r="AB24" s="239" t="str">
        <v>--</v>
      </c>
      <c r="AC24" s="239" t="str">
        <v>--</v>
      </c>
      <c r="AD24" s="239" t="str">
        <v>--</v>
      </c>
      <c r="AE24" s="239" t="str">
        <v>--</v>
      </c>
      <c r="AF24" s="239" t="str">
        <v>--</v>
      </c>
      <c r="AG24" s="239" t="str">
        <v>--</v>
      </c>
      <c r="AH24" s="239" t="str">
        <v>--</v>
      </c>
      <c r="AI24" s="239" t="str">
        <v>--</v>
      </c>
      <c r="AJ24" s="239" t="str">
        <v>--</v>
      </c>
      <c r="AK24" s="239" t="str">
        <v>--</v>
      </c>
      <c r="AL24" s="239" t="str">
        <v>--</v>
      </c>
      <c r="AM24" s="239" t="str">
        <v>--</v>
      </c>
      <c r="AN24" s="239" t="str">
        <v>--</v>
      </c>
      <c r="AO24" s="239" t="str">
        <v>--</v>
      </c>
      <c r="AP24" s="239" t="str">
        <v>--</v>
      </c>
      <c r="AQ24" s="239" t="str">
        <v>--</v>
      </c>
      <c r="AR24" s="239" t="str">
        <v>--</v>
      </c>
      <c r="AS24" s="239" t="str">
        <v>--</v>
      </c>
      <c r="AT24" s="239" t="str">
        <v>--</v>
      </c>
      <c r="AU24" s="239" t="str">
        <v>--</v>
      </c>
      <c r="AV24" s="239" t="str">
        <v>--</v>
      </c>
      <c r="AW24" s="239" t="str">
        <v>--</v>
      </c>
      <c r="AX24" s="239" t="str">
        <v>--</v>
      </c>
      <c r="AY24" s="239" t="str">
        <v>--</v>
      </c>
      <c r="AZ24" s="239" t="str">
        <v>--</v>
      </c>
      <c r="BA24" s="239" t="str">
        <v>--</v>
      </c>
      <c r="BB24" s="239" t="str">
        <v>--</v>
      </c>
      <c r="BC24" s="239" t="str">
        <v>--</v>
      </c>
      <c r="BD24" s="239" t="str">
        <v>--</v>
      </c>
      <c r="BE24" s="239" t="str">
        <v>--</v>
      </c>
      <c r="BF24" s="239" t="str">
        <v>--</v>
      </c>
      <c r="BG24" s="239" t="str">
        <v>--</v>
      </c>
      <c r="BH24" s="239" t="str">
        <v>--</v>
      </c>
      <c r="BJ24" s="348"/>
      <c r="BK24" s="350"/>
      <c r="BL24" s="350"/>
      <c r="BM24" s="350"/>
      <c r="BN24" s="350"/>
      <c r="BO24" s="352"/>
    </row>
    <row r="25" spans="2:67" ht="18" customHeight="1" x14ac:dyDescent="0.2">
      <c r="B25" s="245" t="str">
        <v/>
      </c>
      <c r="C25" s="241" cm="1">
        <f t="array" ref="C25:BH25">$B26*100+C$5:BH$5</f>
        <v>2301</v>
      </c>
      <c r="D25" s="241">
        <v>2302</v>
      </c>
      <c r="E25" s="241">
        <v>2303</v>
      </c>
      <c r="F25" s="241">
        <v>2304</v>
      </c>
      <c r="G25" s="241">
        <v>2305</v>
      </c>
      <c r="H25" s="241">
        <v>2306</v>
      </c>
      <c r="I25" s="241">
        <v>2307</v>
      </c>
      <c r="J25" s="241">
        <v>2308</v>
      </c>
      <c r="K25" s="241">
        <v>2309</v>
      </c>
      <c r="L25" s="241">
        <v>2310</v>
      </c>
      <c r="M25" s="241">
        <v>2311</v>
      </c>
      <c r="N25" s="241">
        <v>2312</v>
      </c>
      <c r="O25" s="241">
        <v>2313</v>
      </c>
      <c r="P25" s="241">
        <v>2314</v>
      </c>
      <c r="Q25" s="241">
        <v>2315</v>
      </c>
      <c r="R25" s="241">
        <v>2316</v>
      </c>
      <c r="S25" s="241">
        <v>2317</v>
      </c>
      <c r="T25" s="241">
        <v>2318</v>
      </c>
      <c r="U25" s="241">
        <v>2319</v>
      </c>
      <c r="V25" s="241">
        <v>2320</v>
      </c>
      <c r="W25" s="241">
        <v>2321</v>
      </c>
      <c r="X25" s="241">
        <v>2322</v>
      </c>
      <c r="Y25" s="241">
        <v>2323</v>
      </c>
      <c r="Z25" s="241">
        <v>2324</v>
      </c>
      <c r="AA25" s="241">
        <v>2325</v>
      </c>
      <c r="AB25" s="241">
        <v>2326</v>
      </c>
      <c r="AC25" s="241">
        <v>2327</v>
      </c>
      <c r="AD25" s="241">
        <v>2328</v>
      </c>
      <c r="AE25" s="241">
        <v>2329</v>
      </c>
      <c r="AF25" s="241">
        <v>2330</v>
      </c>
      <c r="AG25" s="241">
        <v>2331</v>
      </c>
      <c r="AH25" s="241">
        <v>2332</v>
      </c>
      <c r="AI25" s="241">
        <v>2333</v>
      </c>
      <c r="AJ25" s="241">
        <v>2334</v>
      </c>
      <c r="AK25" s="241">
        <v>2335</v>
      </c>
      <c r="AL25" s="241">
        <v>2336</v>
      </c>
      <c r="AM25" s="241">
        <v>2337</v>
      </c>
      <c r="AN25" s="241">
        <v>2338</v>
      </c>
      <c r="AO25" s="241">
        <v>2339</v>
      </c>
      <c r="AP25" s="241">
        <v>2340</v>
      </c>
      <c r="AQ25" s="241">
        <v>2341</v>
      </c>
      <c r="AR25" s="241">
        <v>2342</v>
      </c>
      <c r="AS25" s="241">
        <v>2343</v>
      </c>
      <c r="AT25" s="241">
        <v>2344</v>
      </c>
      <c r="AU25" s="241">
        <v>2345</v>
      </c>
      <c r="AV25" s="241">
        <v>2346</v>
      </c>
      <c r="AW25" s="241">
        <v>2347</v>
      </c>
      <c r="AX25" s="241">
        <v>2348</v>
      </c>
      <c r="AY25" s="241">
        <v>2349</v>
      </c>
      <c r="AZ25" s="241">
        <v>2350</v>
      </c>
      <c r="BA25" s="241">
        <v>2351</v>
      </c>
      <c r="BB25" s="241">
        <v>2352</v>
      </c>
      <c r="BC25" s="241">
        <v>2353</v>
      </c>
      <c r="BD25" s="241">
        <v>2354</v>
      </c>
      <c r="BE25" s="241">
        <v>2355</v>
      </c>
      <c r="BF25" s="241">
        <v>2356</v>
      </c>
      <c r="BG25" s="241">
        <v>2357</v>
      </c>
      <c r="BH25" s="241">
        <v>2358</v>
      </c>
      <c r="BJ25" s="302" t="str">
        <f t="shared" ref="BJ25" si="12">B26&amp;"rd FLOOR"</f>
        <v>23rd FLOOR</v>
      </c>
      <c r="BK25" s="303"/>
      <c r="BL25" s="303"/>
      <c r="BM25" s="303"/>
      <c r="BN25" s="303"/>
      <c r="BO25" s="304"/>
    </row>
    <row r="26" spans="2:67" ht="14.25" customHeight="1" x14ac:dyDescent="0.2">
      <c r="B26" s="246">
        <v>23</v>
      </c>
      <c r="C26" s="240" t="str" cm="1">
        <f t="array" ref="C26:BH26">_xlfn.XLOOKUP(C25:BH25,'[1]111W_BUILDING MATRIX'!$B$8:$B$600,'[1]111W_BUILDING MATRIX'!$E$8:$E$600,"--")</f>
        <v>--</v>
      </c>
      <c r="D26" s="240" t="str">
        <v>--</v>
      </c>
      <c r="E26" s="240" t="str">
        <v>--</v>
      </c>
      <c r="F26" s="240" t="str">
        <v>--</v>
      </c>
      <c r="G26" s="240" t="str">
        <v>--</v>
      </c>
      <c r="H26" s="240" t="str">
        <v>--</v>
      </c>
      <c r="I26" s="240" t="str">
        <v>--</v>
      </c>
      <c r="J26" s="240" t="str">
        <v>--</v>
      </c>
      <c r="K26" s="240" t="str">
        <v>--</v>
      </c>
      <c r="L26" s="240" t="str">
        <v>--</v>
      </c>
      <c r="M26" s="240" t="str">
        <v>--</v>
      </c>
      <c r="N26" s="240" t="str">
        <v>--</v>
      </c>
      <c r="O26" s="240" t="str">
        <v>--</v>
      </c>
      <c r="P26" s="240" t="str">
        <v>--</v>
      </c>
      <c r="Q26" s="240" t="str">
        <v>--</v>
      </c>
      <c r="R26" s="240" t="str">
        <v>--</v>
      </c>
      <c r="S26" s="240" t="str">
        <v>--</v>
      </c>
      <c r="T26" s="240" t="str">
        <v>--</v>
      </c>
      <c r="U26" s="240" t="str">
        <v>--</v>
      </c>
      <c r="V26" s="240" t="str">
        <v>--</v>
      </c>
      <c r="W26" s="240" t="str">
        <v>--</v>
      </c>
      <c r="X26" s="240" t="str">
        <v>--</v>
      </c>
      <c r="Y26" s="240" t="str">
        <v>--</v>
      </c>
      <c r="Z26" s="240" t="str">
        <v>--</v>
      </c>
      <c r="AA26" s="240" t="str">
        <v>--</v>
      </c>
      <c r="AB26" s="240" t="str">
        <v>--</v>
      </c>
      <c r="AC26" s="240" t="str">
        <v>--</v>
      </c>
      <c r="AD26" s="240" t="str">
        <v>--</v>
      </c>
      <c r="AE26" s="240" t="str">
        <v>--</v>
      </c>
      <c r="AF26" s="240" t="str">
        <v>--</v>
      </c>
      <c r="AG26" s="240" t="str">
        <v>--</v>
      </c>
      <c r="AH26" s="240" t="str">
        <v>--</v>
      </c>
      <c r="AI26" s="240" t="str">
        <v>--</v>
      </c>
      <c r="AJ26" s="240" t="str">
        <v>--</v>
      </c>
      <c r="AK26" s="240" t="str">
        <v>--</v>
      </c>
      <c r="AL26" s="240" t="str">
        <v>--</v>
      </c>
      <c r="AM26" s="240" t="str">
        <v>--</v>
      </c>
      <c r="AN26" s="240" t="str">
        <v>--</v>
      </c>
      <c r="AO26" s="240" t="str">
        <v>--</v>
      </c>
      <c r="AP26" s="240" t="str">
        <v>--</v>
      </c>
      <c r="AQ26" s="240" t="str">
        <v>--</v>
      </c>
      <c r="AR26" s="240" t="str">
        <v>--</v>
      </c>
      <c r="AS26" s="240" t="str">
        <v>--</v>
      </c>
      <c r="AT26" s="240" t="str">
        <v>--</v>
      </c>
      <c r="AU26" s="240" t="str">
        <v>--</v>
      </c>
      <c r="AV26" s="240" t="str">
        <v>--</v>
      </c>
      <c r="AW26" s="240" t="str">
        <v>--</v>
      </c>
      <c r="AX26" s="240" t="str">
        <v>--</v>
      </c>
      <c r="AY26" s="240" t="str">
        <v>--</v>
      </c>
      <c r="AZ26" s="240" t="str">
        <v>--</v>
      </c>
      <c r="BA26" s="240" t="str">
        <v>--</v>
      </c>
      <c r="BB26" s="240" t="str">
        <v>--</v>
      </c>
      <c r="BC26" s="240" t="str">
        <v>--</v>
      </c>
      <c r="BD26" s="240" t="str">
        <v>--</v>
      </c>
      <c r="BE26" s="240" t="str">
        <v>--</v>
      </c>
      <c r="BF26" s="240" t="str">
        <v>--</v>
      </c>
      <c r="BG26" s="240" t="str">
        <v>--</v>
      </c>
      <c r="BH26" s="240" t="str">
        <v>--</v>
      </c>
      <c r="BJ26" s="347">
        <f t="shared" ref="BJ26" si="13">COUNTIF(C27:BH27, "D")</f>
        <v>0</v>
      </c>
      <c r="BK26" s="349" t="s">
        <v>16</v>
      </c>
      <c r="BL26" s="349"/>
      <c r="BM26" s="349"/>
      <c r="BN26" s="349">
        <f t="shared" ref="BN26" si="14" xml:space="preserve"> COUNTIF(C27:BH27,"&lt;&gt;--")</f>
        <v>0</v>
      </c>
      <c r="BO26" s="351" t="e">
        <f t="shared" ref="BO26" si="15">BJ26/BN26</f>
        <v>#DIV/0!</v>
      </c>
    </row>
    <row r="27" spans="2:67" ht="15" customHeight="1" thickBot="1" x14ac:dyDescent="0.25">
      <c r="B27" s="247" t="str">
        <v/>
      </c>
      <c r="C27" s="239" t="str" cm="1">
        <f t="array" ref="C27:BH27">_xlfn.XLOOKUP(C25:BH25,'[1]111W_BUILDING MATRIX'!$B$8:$B$600,'[1]111W_BUILDING MATRIX'!$H$8:$H$600,"--")</f>
        <v>--</v>
      </c>
      <c r="D27" s="239" t="str">
        <v>--</v>
      </c>
      <c r="E27" s="239" t="str">
        <v>--</v>
      </c>
      <c r="F27" s="239" t="str">
        <v>--</v>
      </c>
      <c r="G27" s="239" t="str">
        <v>--</v>
      </c>
      <c r="H27" s="239" t="str">
        <v>--</v>
      </c>
      <c r="I27" s="239" t="str">
        <v>--</v>
      </c>
      <c r="J27" s="239" t="str">
        <v>--</v>
      </c>
      <c r="K27" s="239" t="str">
        <v>--</v>
      </c>
      <c r="L27" s="239" t="str">
        <v>--</v>
      </c>
      <c r="M27" s="239" t="str">
        <v>--</v>
      </c>
      <c r="N27" s="239" t="str">
        <v>--</v>
      </c>
      <c r="O27" s="239" t="str">
        <v>--</v>
      </c>
      <c r="P27" s="239" t="str">
        <v>--</v>
      </c>
      <c r="Q27" s="239" t="str">
        <v>--</v>
      </c>
      <c r="R27" s="239" t="str">
        <v>--</v>
      </c>
      <c r="S27" s="239" t="str">
        <v>--</v>
      </c>
      <c r="T27" s="239" t="str">
        <v>--</v>
      </c>
      <c r="U27" s="239" t="str">
        <v>--</v>
      </c>
      <c r="V27" s="239" t="str">
        <v>--</v>
      </c>
      <c r="W27" s="239" t="str">
        <v>--</v>
      </c>
      <c r="X27" s="239" t="str">
        <v>--</v>
      </c>
      <c r="Y27" s="239" t="str">
        <v>--</v>
      </c>
      <c r="Z27" s="239" t="str">
        <v>--</v>
      </c>
      <c r="AA27" s="239" t="str">
        <v>--</v>
      </c>
      <c r="AB27" s="239" t="str">
        <v>--</v>
      </c>
      <c r="AC27" s="239" t="str">
        <v>--</v>
      </c>
      <c r="AD27" s="239" t="str">
        <v>--</v>
      </c>
      <c r="AE27" s="239" t="str">
        <v>--</v>
      </c>
      <c r="AF27" s="239" t="str">
        <v>--</v>
      </c>
      <c r="AG27" s="239" t="str">
        <v>--</v>
      </c>
      <c r="AH27" s="239" t="str">
        <v>--</v>
      </c>
      <c r="AI27" s="239" t="str">
        <v>--</v>
      </c>
      <c r="AJ27" s="239" t="str">
        <v>--</v>
      </c>
      <c r="AK27" s="239" t="str">
        <v>--</v>
      </c>
      <c r="AL27" s="239" t="str">
        <v>--</v>
      </c>
      <c r="AM27" s="239" t="str">
        <v>--</v>
      </c>
      <c r="AN27" s="239" t="str">
        <v>--</v>
      </c>
      <c r="AO27" s="239" t="str">
        <v>--</v>
      </c>
      <c r="AP27" s="239" t="str">
        <v>--</v>
      </c>
      <c r="AQ27" s="239" t="str">
        <v>--</v>
      </c>
      <c r="AR27" s="239" t="str">
        <v>--</v>
      </c>
      <c r="AS27" s="239" t="str">
        <v>--</v>
      </c>
      <c r="AT27" s="239" t="str">
        <v>--</v>
      </c>
      <c r="AU27" s="239" t="str">
        <v>--</v>
      </c>
      <c r="AV27" s="239" t="str">
        <v>--</v>
      </c>
      <c r="AW27" s="239" t="str">
        <v>--</v>
      </c>
      <c r="AX27" s="239" t="str">
        <v>--</v>
      </c>
      <c r="AY27" s="239" t="str">
        <v>--</v>
      </c>
      <c r="AZ27" s="239" t="str">
        <v>--</v>
      </c>
      <c r="BA27" s="239" t="str">
        <v>--</v>
      </c>
      <c r="BB27" s="239" t="str">
        <v>--</v>
      </c>
      <c r="BC27" s="239" t="str">
        <v>--</v>
      </c>
      <c r="BD27" s="239" t="str">
        <v>--</v>
      </c>
      <c r="BE27" s="239" t="str">
        <v>--</v>
      </c>
      <c r="BF27" s="239" t="str">
        <v>--</v>
      </c>
      <c r="BG27" s="239" t="str">
        <v>--</v>
      </c>
      <c r="BH27" s="239" t="str">
        <v>--</v>
      </c>
      <c r="BJ27" s="348"/>
      <c r="BK27" s="350"/>
      <c r="BL27" s="350"/>
      <c r="BM27" s="350"/>
      <c r="BN27" s="350"/>
      <c r="BO27" s="352"/>
    </row>
    <row r="28" spans="2:67" ht="18" customHeight="1" x14ac:dyDescent="0.2">
      <c r="B28" s="245" t="str">
        <v/>
      </c>
      <c r="C28" s="241" cm="1">
        <f t="array" ref="C28:BH28">$B29*100+C$5:BH$5</f>
        <v>2201</v>
      </c>
      <c r="D28" s="241">
        <v>2202</v>
      </c>
      <c r="E28" s="241">
        <v>2203</v>
      </c>
      <c r="F28" s="241">
        <v>2204</v>
      </c>
      <c r="G28" s="241">
        <v>2205</v>
      </c>
      <c r="H28" s="241">
        <v>2206</v>
      </c>
      <c r="I28" s="241">
        <v>2207</v>
      </c>
      <c r="J28" s="241">
        <v>2208</v>
      </c>
      <c r="K28" s="241">
        <v>2209</v>
      </c>
      <c r="L28" s="241">
        <v>2210</v>
      </c>
      <c r="M28" s="241">
        <v>2211</v>
      </c>
      <c r="N28" s="241">
        <v>2212</v>
      </c>
      <c r="O28" s="241">
        <v>2213</v>
      </c>
      <c r="P28" s="241">
        <v>2214</v>
      </c>
      <c r="Q28" s="241">
        <v>2215</v>
      </c>
      <c r="R28" s="241">
        <v>2216</v>
      </c>
      <c r="S28" s="241">
        <v>2217</v>
      </c>
      <c r="T28" s="241">
        <v>2218</v>
      </c>
      <c r="U28" s="241">
        <v>2219</v>
      </c>
      <c r="V28" s="241">
        <v>2220</v>
      </c>
      <c r="W28" s="241">
        <v>2221</v>
      </c>
      <c r="X28" s="241">
        <v>2222</v>
      </c>
      <c r="Y28" s="241">
        <v>2223</v>
      </c>
      <c r="Z28" s="241">
        <v>2224</v>
      </c>
      <c r="AA28" s="241">
        <v>2225</v>
      </c>
      <c r="AB28" s="241">
        <v>2226</v>
      </c>
      <c r="AC28" s="241">
        <v>2227</v>
      </c>
      <c r="AD28" s="241">
        <v>2228</v>
      </c>
      <c r="AE28" s="241">
        <v>2229</v>
      </c>
      <c r="AF28" s="241">
        <v>2230</v>
      </c>
      <c r="AG28" s="241">
        <v>2231</v>
      </c>
      <c r="AH28" s="241">
        <v>2232</v>
      </c>
      <c r="AI28" s="241">
        <v>2233</v>
      </c>
      <c r="AJ28" s="241">
        <v>2234</v>
      </c>
      <c r="AK28" s="241">
        <v>2235</v>
      </c>
      <c r="AL28" s="241">
        <v>2236</v>
      </c>
      <c r="AM28" s="241">
        <v>2237</v>
      </c>
      <c r="AN28" s="241">
        <v>2238</v>
      </c>
      <c r="AO28" s="241">
        <v>2239</v>
      </c>
      <c r="AP28" s="241">
        <v>2240</v>
      </c>
      <c r="AQ28" s="241">
        <v>2241</v>
      </c>
      <c r="AR28" s="241">
        <v>2242</v>
      </c>
      <c r="AS28" s="241">
        <v>2243</v>
      </c>
      <c r="AT28" s="241">
        <v>2244</v>
      </c>
      <c r="AU28" s="241">
        <v>2245</v>
      </c>
      <c r="AV28" s="241">
        <v>2246</v>
      </c>
      <c r="AW28" s="241">
        <v>2247</v>
      </c>
      <c r="AX28" s="241">
        <v>2248</v>
      </c>
      <c r="AY28" s="241">
        <v>2249</v>
      </c>
      <c r="AZ28" s="241">
        <v>2250</v>
      </c>
      <c r="BA28" s="241">
        <v>2251</v>
      </c>
      <c r="BB28" s="241">
        <v>2252</v>
      </c>
      <c r="BC28" s="241">
        <v>2253</v>
      </c>
      <c r="BD28" s="241">
        <v>2254</v>
      </c>
      <c r="BE28" s="241">
        <v>2255</v>
      </c>
      <c r="BF28" s="241">
        <v>2256</v>
      </c>
      <c r="BG28" s="241">
        <v>2257</v>
      </c>
      <c r="BH28" s="241">
        <v>2258</v>
      </c>
      <c r="BJ28" s="302" t="str">
        <f>B29&amp;"nd FLOOR"</f>
        <v>22nd FLOOR</v>
      </c>
      <c r="BK28" s="303"/>
      <c r="BL28" s="303"/>
      <c r="BM28" s="303"/>
      <c r="BN28" s="303"/>
      <c r="BO28" s="304"/>
    </row>
    <row r="29" spans="2:67" ht="14.25" customHeight="1" x14ac:dyDescent="0.2">
      <c r="B29" s="246">
        <v>22</v>
      </c>
      <c r="C29" s="240" t="str" cm="1">
        <f t="array" ref="C29:BH29">_xlfn.XLOOKUP(C28:BH28,'[1]111W_BUILDING MATRIX'!$B$8:$B$600,'[1]111W_BUILDING MATRIX'!$E$8:$E$600,"--")</f>
        <v>--</v>
      </c>
      <c r="D29" s="240" t="str">
        <v>--</v>
      </c>
      <c r="E29" s="240" t="str">
        <v>--</v>
      </c>
      <c r="F29" s="240" t="str">
        <v>--</v>
      </c>
      <c r="G29" s="240" t="str">
        <v>--</v>
      </c>
      <c r="H29" s="240" t="str">
        <v>--</v>
      </c>
      <c r="I29" s="240" t="str">
        <v>--</v>
      </c>
      <c r="J29" s="240" t="str">
        <v>--</v>
      </c>
      <c r="K29" s="240" t="str">
        <v>--</v>
      </c>
      <c r="L29" s="240" t="str">
        <v>--</v>
      </c>
      <c r="M29" s="240" t="str">
        <v>--</v>
      </c>
      <c r="N29" s="240" t="str">
        <v>--</v>
      </c>
      <c r="O29" s="240" t="str">
        <v>--</v>
      </c>
      <c r="P29" s="240" t="str">
        <v>--</v>
      </c>
      <c r="Q29" s="240" t="str">
        <v>--</v>
      </c>
      <c r="R29" s="240" t="str">
        <v>--</v>
      </c>
      <c r="S29" s="240" t="str">
        <v>--</v>
      </c>
      <c r="T29" s="240" t="str">
        <v>--</v>
      </c>
      <c r="U29" s="240" t="str">
        <v>--</v>
      </c>
      <c r="V29" s="240" t="str">
        <v>--</v>
      </c>
      <c r="W29" s="240" t="str">
        <v>--</v>
      </c>
      <c r="X29" s="240" t="str">
        <v>--</v>
      </c>
      <c r="Y29" s="240" t="str">
        <v>--</v>
      </c>
      <c r="Z29" s="240" t="str">
        <v>--</v>
      </c>
      <c r="AA29" s="240" t="str">
        <v>--</v>
      </c>
      <c r="AB29" s="240" t="str">
        <v>--</v>
      </c>
      <c r="AC29" s="240" t="str">
        <v>--</v>
      </c>
      <c r="AD29" s="240" t="str">
        <v>--</v>
      </c>
      <c r="AE29" s="240" t="str">
        <v>--</v>
      </c>
      <c r="AF29" s="240" t="str">
        <v>--</v>
      </c>
      <c r="AG29" s="240" t="str">
        <v>--</v>
      </c>
      <c r="AH29" s="240" t="str">
        <v>--</v>
      </c>
      <c r="AI29" s="240" t="str">
        <v>--</v>
      </c>
      <c r="AJ29" s="240" t="str">
        <v>--</v>
      </c>
      <c r="AK29" s="240" t="str">
        <v>--</v>
      </c>
      <c r="AL29" s="240" t="str">
        <v>--</v>
      </c>
      <c r="AM29" s="240" t="str">
        <v>--</v>
      </c>
      <c r="AN29" s="240" t="str">
        <v>--</v>
      </c>
      <c r="AO29" s="240" t="str">
        <v>--</v>
      </c>
      <c r="AP29" s="240" t="str">
        <v>--</v>
      </c>
      <c r="AQ29" s="240" t="str">
        <v>--</v>
      </c>
      <c r="AR29" s="240" t="str">
        <v>--</v>
      </c>
      <c r="AS29" s="240" t="str">
        <v>--</v>
      </c>
      <c r="AT29" s="240" t="str">
        <v>--</v>
      </c>
      <c r="AU29" s="240" t="str">
        <v>--</v>
      </c>
      <c r="AV29" s="240" t="str">
        <v>--</v>
      </c>
      <c r="AW29" s="240" t="str">
        <v>--</v>
      </c>
      <c r="AX29" s="240" t="str">
        <v>--</v>
      </c>
      <c r="AY29" s="240" t="str">
        <v>--</v>
      </c>
      <c r="AZ29" s="240" t="str">
        <v>--</v>
      </c>
      <c r="BA29" s="240" t="str">
        <v>--</v>
      </c>
      <c r="BB29" s="240" t="str">
        <v>--</v>
      </c>
      <c r="BC29" s="240" t="str">
        <v>--</v>
      </c>
      <c r="BD29" s="240" t="str">
        <v>--</v>
      </c>
      <c r="BE29" s="240" t="str">
        <v>--</v>
      </c>
      <c r="BF29" s="240" t="str">
        <v>--</v>
      </c>
      <c r="BG29" s="240" t="str">
        <v>--</v>
      </c>
      <c r="BH29" s="240" t="str">
        <v>--</v>
      </c>
      <c r="BJ29" s="347">
        <f t="shared" ref="BJ29" si="16">COUNTIF(C30:BH30, "D")</f>
        <v>0</v>
      </c>
      <c r="BK29" s="349" t="s">
        <v>16</v>
      </c>
      <c r="BL29" s="349"/>
      <c r="BM29" s="349"/>
      <c r="BN29" s="349">
        <f t="shared" ref="BN29" si="17" xml:space="preserve"> COUNTIF(C30:BH30,"&lt;&gt;--")</f>
        <v>0</v>
      </c>
      <c r="BO29" s="351" t="e">
        <f t="shared" ref="BO29" si="18">BJ29/BN29</f>
        <v>#DIV/0!</v>
      </c>
    </row>
    <row r="30" spans="2:67" ht="15" customHeight="1" thickBot="1" x14ac:dyDescent="0.25">
      <c r="B30" s="247" t="str">
        <v/>
      </c>
      <c r="C30" s="239" t="str" cm="1">
        <f t="array" ref="C30:BH30">_xlfn.XLOOKUP(C28:BH28,'[1]111W_BUILDING MATRIX'!$B$8:$B$600,'[1]111W_BUILDING MATRIX'!$H$8:$H$600,"--")</f>
        <v>--</v>
      </c>
      <c r="D30" s="239" t="str">
        <v>--</v>
      </c>
      <c r="E30" s="239" t="str">
        <v>--</v>
      </c>
      <c r="F30" s="239" t="str">
        <v>--</v>
      </c>
      <c r="G30" s="239" t="str">
        <v>--</v>
      </c>
      <c r="H30" s="239" t="str">
        <v>--</v>
      </c>
      <c r="I30" s="239" t="str">
        <v>--</v>
      </c>
      <c r="J30" s="239" t="str">
        <v>--</v>
      </c>
      <c r="K30" s="239" t="str">
        <v>--</v>
      </c>
      <c r="L30" s="239" t="str">
        <v>--</v>
      </c>
      <c r="M30" s="239" t="str">
        <v>--</v>
      </c>
      <c r="N30" s="239" t="str">
        <v>--</v>
      </c>
      <c r="O30" s="239" t="str">
        <v>--</v>
      </c>
      <c r="P30" s="239" t="str">
        <v>--</v>
      </c>
      <c r="Q30" s="239" t="str">
        <v>--</v>
      </c>
      <c r="R30" s="239" t="str">
        <v>--</v>
      </c>
      <c r="S30" s="239" t="str">
        <v>--</v>
      </c>
      <c r="T30" s="239" t="str">
        <v>--</v>
      </c>
      <c r="U30" s="239" t="str">
        <v>--</v>
      </c>
      <c r="V30" s="239" t="str">
        <v>--</v>
      </c>
      <c r="W30" s="239" t="str">
        <v>--</v>
      </c>
      <c r="X30" s="239" t="str">
        <v>--</v>
      </c>
      <c r="Y30" s="239" t="str">
        <v>--</v>
      </c>
      <c r="Z30" s="239" t="str">
        <v>--</v>
      </c>
      <c r="AA30" s="239" t="str">
        <v>--</v>
      </c>
      <c r="AB30" s="239" t="str">
        <v>--</v>
      </c>
      <c r="AC30" s="239" t="str">
        <v>--</v>
      </c>
      <c r="AD30" s="239" t="str">
        <v>--</v>
      </c>
      <c r="AE30" s="239" t="str">
        <v>--</v>
      </c>
      <c r="AF30" s="239" t="str">
        <v>--</v>
      </c>
      <c r="AG30" s="239" t="str">
        <v>--</v>
      </c>
      <c r="AH30" s="239" t="str">
        <v>--</v>
      </c>
      <c r="AI30" s="239" t="str">
        <v>--</v>
      </c>
      <c r="AJ30" s="239" t="str">
        <v>--</v>
      </c>
      <c r="AK30" s="239" t="str">
        <v>--</v>
      </c>
      <c r="AL30" s="239" t="str">
        <v>--</v>
      </c>
      <c r="AM30" s="239" t="str">
        <v>--</v>
      </c>
      <c r="AN30" s="239" t="str">
        <v>--</v>
      </c>
      <c r="AO30" s="239" t="str">
        <v>--</v>
      </c>
      <c r="AP30" s="239" t="str">
        <v>--</v>
      </c>
      <c r="AQ30" s="239" t="str">
        <v>--</v>
      </c>
      <c r="AR30" s="239" t="str">
        <v>--</v>
      </c>
      <c r="AS30" s="239" t="str">
        <v>--</v>
      </c>
      <c r="AT30" s="239" t="str">
        <v>--</v>
      </c>
      <c r="AU30" s="239" t="str">
        <v>--</v>
      </c>
      <c r="AV30" s="239" t="str">
        <v>--</v>
      </c>
      <c r="AW30" s="239" t="str">
        <v>--</v>
      </c>
      <c r="AX30" s="239" t="str">
        <v>--</v>
      </c>
      <c r="AY30" s="239" t="str">
        <v>--</v>
      </c>
      <c r="AZ30" s="239" t="str">
        <v>--</v>
      </c>
      <c r="BA30" s="239" t="str">
        <v>--</v>
      </c>
      <c r="BB30" s="239" t="str">
        <v>--</v>
      </c>
      <c r="BC30" s="239" t="str">
        <v>--</v>
      </c>
      <c r="BD30" s="239" t="str">
        <v>--</v>
      </c>
      <c r="BE30" s="239" t="str">
        <v>--</v>
      </c>
      <c r="BF30" s="239" t="str">
        <v>--</v>
      </c>
      <c r="BG30" s="239" t="str">
        <v>--</v>
      </c>
      <c r="BH30" s="239" t="str">
        <v>--</v>
      </c>
      <c r="BJ30" s="348"/>
      <c r="BK30" s="350"/>
      <c r="BL30" s="350"/>
      <c r="BM30" s="350"/>
      <c r="BN30" s="350"/>
      <c r="BO30" s="352"/>
    </row>
    <row r="31" spans="2:67" ht="18" customHeight="1" x14ac:dyDescent="0.2">
      <c r="B31" s="245" t="str">
        <v/>
      </c>
      <c r="C31" s="241" cm="1">
        <f t="array" ref="C31:BH31">$B32*100+C$5:BH$5</f>
        <v>2101</v>
      </c>
      <c r="D31" s="241">
        <v>2102</v>
      </c>
      <c r="E31" s="241">
        <v>2103</v>
      </c>
      <c r="F31" s="241">
        <v>2104</v>
      </c>
      <c r="G31" s="241">
        <v>2105</v>
      </c>
      <c r="H31" s="241">
        <v>2106</v>
      </c>
      <c r="I31" s="241">
        <v>2107</v>
      </c>
      <c r="J31" s="241">
        <v>2108</v>
      </c>
      <c r="K31" s="241">
        <v>2109</v>
      </c>
      <c r="L31" s="241">
        <v>2110</v>
      </c>
      <c r="M31" s="241">
        <v>2111</v>
      </c>
      <c r="N31" s="241">
        <v>2112</v>
      </c>
      <c r="O31" s="241">
        <v>2113</v>
      </c>
      <c r="P31" s="241">
        <v>2114</v>
      </c>
      <c r="Q31" s="241">
        <v>2115</v>
      </c>
      <c r="R31" s="241">
        <v>2116</v>
      </c>
      <c r="S31" s="241">
        <v>2117</v>
      </c>
      <c r="T31" s="241">
        <v>2118</v>
      </c>
      <c r="U31" s="241">
        <v>2119</v>
      </c>
      <c r="V31" s="241">
        <v>2120</v>
      </c>
      <c r="W31" s="241">
        <v>2121</v>
      </c>
      <c r="X31" s="241">
        <v>2122</v>
      </c>
      <c r="Y31" s="241">
        <v>2123</v>
      </c>
      <c r="Z31" s="241">
        <v>2124</v>
      </c>
      <c r="AA31" s="241">
        <v>2125</v>
      </c>
      <c r="AB31" s="241">
        <v>2126</v>
      </c>
      <c r="AC31" s="241">
        <v>2127</v>
      </c>
      <c r="AD31" s="241">
        <v>2128</v>
      </c>
      <c r="AE31" s="241">
        <v>2129</v>
      </c>
      <c r="AF31" s="241">
        <v>2130</v>
      </c>
      <c r="AG31" s="241">
        <v>2131</v>
      </c>
      <c r="AH31" s="241">
        <v>2132</v>
      </c>
      <c r="AI31" s="241">
        <v>2133</v>
      </c>
      <c r="AJ31" s="241">
        <v>2134</v>
      </c>
      <c r="AK31" s="241">
        <v>2135</v>
      </c>
      <c r="AL31" s="241">
        <v>2136</v>
      </c>
      <c r="AM31" s="241">
        <v>2137</v>
      </c>
      <c r="AN31" s="241">
        <v>2138</v>
      </c>
      <c r="AO31" s="241">
        <v>2139</v>
      </c>
      <c r="AP31" s="241">
        <v>2140</v>
      </c>
      <c r="AQ31" s="241">
        <v>2141</v>
      </c>
      <c r="AR31" s="241">
        <v>2142</v>
      </c>
      <c r="AS31" s="241">
        <v>2143</v>
      </c>
      <c r="AT31" s="241">
        <v>2144</v>
      </c>
      <c r="AU31" s="241">
        <v>2145</v>
      </c>
      <c r="AV31" s="241">
        <v>2146</v>
      </c>
      <c r="AW31" s="241">
        <v>2147</v>
      </c>
      <c r="AX31" s="241">
        <v>2148</v>
      </c>
      <c r="AY31" s="241">
        <v>2149</v>
      </c>
      <c r="AZ31" s="241">
        <v>2150</v>
      </c>
      <c r="BA31" s="241">
        <v>2151</v>
      </c>
      <c r="BB31" s="241">
        <v>2152</v>
      </c>
      <c r="BC31" s="241">
        <v>2153</v>
      </c>
      <c r="BD31" s="241">
        <v>2154</v>
      </c>
      <c r="BE31" s="241">
        <v>2155</v>
      </c>
      <c r="BF31" s="241">
        <v>2156</v>
      </c>
      <c r="BG31" s="241">
        <v>2157</v>
      </c>
      <c r="BH31" s="241">
        <v>2158</v>
      </c>
      <c r="BJ31" s="302" t="str">
        <f>B32&amp;"st FLOOR"</f>
        <v>21st FLOOR</v>
      </c>
      <c r="BK31" s="303"/>
      <c r="BL31" s="303"/>
      <c r="BM31" s="303"/>
      <c r="BN31" s="303"/>
      <c r="BO31" s="304"/>
    </row>
    <row r="32" spans="2:67" ht="14.25" customHeight="1" x14ac:dyDescent="0.2">
      <c r="B32" s="246">
        <v>21</v>
      </c>
      <c r="C32" s="240" t="str" cm="1">
        <f t="array" ref="C32:BH32">_xlfn.XLOOKUP(C31:BH31,'[1]111W_BUILDING MATRIX'!$B$8:$B$600,'[1]111W_BUILDING MATRIX'!$E$8:$E$600,"--")</f>
        <v>--</v>
      </c>
      <c r="D32" s="240" t="str">
        <v>--</v>
      </c>
      <c r="E32" s="240" t="str">
        <v>--</v>
      </c>
      <c r="F32" s="240" t="str">
        <v>--</v>
      </c>
      <c r="G32" s="240" t="str">
        <v>--</v>
      </c>
      <c r="H32" s="240" t="str">
        <v>--</v>
      </c>
      <c r="I32" s="240" t="str">
        <v>--</v>
      </c>
      <c r="J32" s="240" t="str">
        <v>--</v>
      </c>
      <c r="K32" s="240" t="str">
        <v>--</v>
      </c>
      <c r="L32" s="240" t="str">
        <v>--</v>
      </c>
      <c r="M32" s="240" t="str">
        <v>--</v>
      </c>
      <c r="N32" s="240" t="str">
        <v>--</v>
      </c>
      <c r="O32" s="240" t="str">
        <v>--</v>
      </c>
      <c r="P32" s="240" t="str">
        <v>--</v>
      </c>
      <c r="Q32" s="240" t="str">
        <v>--</v>
      </c>
      <c r="R32" s="240" t="str">
        <v>--</v>
      </c>
      <c r="S32" s="240" t="str">
        <v>--</v>
      </c>
      <c r="T32" s="240" t="str">
        <v>--</v>
      </c>
      <c r="U32" s="240" t="str">
        <v>--</v>
      </c>
      <c r="V32" s="240" t="str">
        <v>--</v>
      </c>
      <c r="W32" s="240" t="str">
        <v>--</v>
      </c>
      <c r="X32" s="240" t="str">
        <v>--</v>
      </c>
      <c r="Y32" s="240" t="str">
        <v>--</v>
      </c>
      <c r="Z32" s="240" t="str">
        <v>--</v>
      </c>
      <c r="AA32" s="240" t="str">
        <v>--</v>
      </c>
      <c r="AB32" s="240" t="str">
        <v>--</v>
      </c>
      <c r="AC32" s="240" t="str">
        <v>--</v>
      </c>
      <c r="AD32" s="240" t="str">
        <v>--</v>
      </c>
      <c r="AE32" s="240" t="str">
        <v>--</v>
      </c>
      <c r="AF32" s="240" t="str">
        <v>--</v>
      </c>
      <c r="AG32" s="240" t="str">
        <v>--</v>
      </c>
      <c r="AH32" s="240" t="str">
        <v>--</v>
      </c>
      <c r="AI32" s="240" t="str">
        <v>--</v>
      </c>
      <c r="AJ32" s="240" t="str">
        <v>--</v>
      </c>
      <c r="AK32" s="240" t="str">
        <v>--</v>
      </c>
      <c r="AL32" s="240" t="str">
        <v>--</v>
      </c>
      <c r="AM32" s="240" t="str">
        <v>--</v>
      </c>
      <c r="AN32" s="240" t="str">
        <v>--</v>
      </c>
      <c r="AO32" s="240" t="str">
        <v>--</v>
      </c>
      <c r="AP32" s="240" t="str">
        <v>--</v>
      </c>
      <c r="AQ32" s="240" t="str">
        <v>--</v>
      </c>
      <c r="AR32" s="240" t="str">
        <v>--</v>
      </c>
      <c r="AS32" s="240" t="str">
        <v>--</v>
      </c>
      <c r="AT32" s="240" t="str">
        <v>--</v>
      </c>
      <c r="AU32" s="240" t="str">
        <v>--</v>
      </c>
      <c r="AV32" s="240" t="str">
        <v>--</v>
      </c>
      <c r="AW32" s="240" t="str">
        <v>--</v>
      </c>
      <c r="AX32" s="240" t="str">
        <v>--</v>
      </c>
      <c r="AY32" s="240" t="str">
        <v>--</v>
      </c>
      <c r="AZ32" s="240" t="str">
        <v>--</v>
      </c>
      <c r="BA32" s="240" t="str">
        <v>--</v>
      </c>
      <c r="BB32" s="240" t="str">
        <v>--</v>
      </c>
      <c r="BC32" s="240" t="str">
        <v>--</v>
      </c>
      <c r="BD32" s="240" t="str">
        <v>--</v>
      </c>
      <c r="BE32" s="240" t="str">
        <v>--</v>
      </c>
      <c r="BF32" s="240" t="str">
        <v>--</v>
      </c>
      <c r="BG32" s="240" t="str">
        <v>--</v>
      </c>
      <c r="BH32" s="240" t="str">
        <v>--</v>
      </c>
      <c r="BJ32" s="347">
        <f t="shared" ref="BJ32" si="19">COUNTIF(C33:BH33, "D")</f>
        <v>0</v>
      </c>
      <c r="BK32" s="349" t="s">
        <v>16</v>
      </c>
      <c r="BL32" s="349"/>
      <c r="BM32" s="349"/>
      <c r="BN32" s="349">
        <f t="shared" ref="BN32" si="20" xml:space="preserve"> COUNTIF(C33:BH33,"&lt;&gt;--")</f>
        <v>0</v>
      </c>
      <c r="BO32" s="351" t="e">
        <f t="shared" ref="BO32" si="21">BJ32/BN32</f>
        <v>#DIV/0!</v>
      </c>
    </row>
    <row r="33" spans="2:67" ht="15" customHeight="1" thickBot="1" x14ac:dyDescent="0.25">
      <c r="B33" s="247" t="str">
        <v/>
      </c>
      <c r="C33" s="239" t="str" cm="1">
        <f t="array" ref="C33:BH33">_xlfn.XLOOKUP(C31:BH31,'[1]111W_BUILDING MATRIX'!$B$8:$B$600,'[1]111W_BUILDING MATRIX'!$H$8:$H$600,"--")</f>
        <v>--</v>
      </c>
      <c r="D33" s="239" t="str">
        <v>--</v>
      </c>
      <c r="E33" s="239" t="str">
        <v>--</v>
      </c>
      <c r="F33" s="239" t="str">
        <v>--</v>
      </c>
      <c r="G33" s="239" t="str">
        <v>--</v>
      </c>
      <c r="H33" s="239" t="str">
        <v>--</v>
      </c>
      <c r="I33" s="239" t="str">
        <v>--</v>
      </c>
      <c r="J33" s="239" t="str">
        <v>--</v>
      </c>
      <c r="K33" s="239" t="str">
        <v>--</v>
      </c>
      <c r="L33" s="239" t="str">
        <v>--</v>
      </c>
      <c r="M33" s="239" t="str">
        <v>--</v>
      </c>
      <c r="N33" s="239" t="str">
        <v>--</v>
      </c>
      <c r="O33" s="239" t="str">
        <v>--</v>
      </c>
      <c r="P33" s="239" t="str">
        <v>--</v>
      </c>
      <c r="Q33" s="239" t="str">
        <v>--</v>
      </c>
      <c r="R33" s="239" t="str">
        <v>--</v>
      </c>
      <c r="S33" s="239" t="str">
        <v>--</v>
      </c>
      <c r="T33" s="239" t="str">
        <v>--</v>
      </c>
      <c r="U33" s="239" t="str">
        <v>--</v>
      </c>
      <c r="V33" s="239" t="str">
        <v>--</v>
      </c>
      <c r="W33" s="239" t="str">
        <v>--</v>
      </c>
      <c r="X33" s="239" t="str">
        <v>--</v>
      </c>
      <c r="Y33" s="239" t="str">
        <v>--</v>
      </c>
      <c r="Z33" s="239" t="str">
        <v>--</v>
      </c>
      <c r="AA33" s="239" t="str">
        <v>--</v>
      </c>
      <c r="AB33" s="239" t="str">
        <v>--</v>
      </c>
      <c r="AC33" s="239" t="str">
        <v>--</v>
      </c>
      <c r="AD33" s="239" t="str">
        <v>--</v>
      </c>
      <c r="AE33" s="239" t="str">
        <v>--</v>
      </c>
      <c r="AF33" s="239" t="str">
        <v>--</v>
      </c>
      <c r="AG33" s="239" t="str">
        <v>--</v>
      </c>
      <c r="AH33" s="239" t="str">
        <v>--</v>
      </c>
      <c r="AI33" s="239" t="str">
        <v>--</v>
      </c>
      <c r="AJ33" s="239" t="str">
        <v>--</v>
      </c>
      <c r="AK33" s="239" t="str">
        <v>--</v>
      </c>
      <c r="AL33" s="239" t="str">
        <v>--</v>
      </c>
      <c r="AM33" s="239" t="str">
        <v>--</v>
      </c>
      <c r="AN33" s="239" t="str">
        <v>--</v>
      </c>
      <c r="AO33" s="239" t="str">
        <v>--</v>
      </c>
      <c r="AP33" s="239" t="str">
        <v>--</v>
      </c>
      <c r="AQ33" s="239" t="str">
        <v>--</v>
      </c>
      <c r="AR33" s="239" t="str">
        <v>--</v>
      </c>
      <c r="AS33" s="239" t="str">
        <v>--</v>
      </c>
      <c r="AT33" s="239" t="str">
        <v>--</v>
      </c>
      <c r="AU33" s="239" t="str">
        <v>--</v>
      </c>
      <c r="AV33" s="239" t="str">
        <v>--</v>
      </c>
      <c r="AW33" s="239" t="str">
        <v>--</v>
      </c>
      <c r="AX33" s="239" t="str">
        <v>--</v>
      </c>
      <c r="AY33" s="239" t="str">
        <v>--</v>
      </c>
      <c r="AZ33" s="239" t="str">
        <v>--</v>
      </c>
      <c r="BA33" s="239" t="str">
        <v>--</v>
      </c>
      <c r="BB33" s="239" t="str">
        <v>--</v>
      </c>
      <c r="BC33" s="239" t="str">
        <v>--</v>
      </c>
      <c r="BD33" s="239" t="str">
        <v>--</v>
      </c>
      <c r="BE33" s="239" t="str">
        <v>--</v>
      </c>
      <c r="BF33" s="239" t="str">
        <v>--</v>
      </c>
      <c r="BG33" s="239" t="str">
        <v>--</v>
      </c>
      <c r="BH33" s="239" t="str">
        <v>--</v>
      </c>
      <c r="BJ33" s="348"/>
      <c r="BK33" s="350"/>
      <c r="BL33" s="350"/>
      <c r="BM33" s="350"/>
      <c r="BN33" s="350"/>
      <c r="BO33" s="352"/>
    </row>
    <row r="34" spans="2:67" ht="18" customHeight="1" x14ac:dyDescent="0.2">
      <c r="B34" s="245" t="str">
        <v/>
      </c>
      <c r="C34" s="241" cm="1">
        <f t="array" ref="C34:BH34">$B35*100+C$5:BH$5</f>
        <v>2001</v>
      </c>
      <c r="D34" s="241">
        <v>2002</v>
      </c>
      <c r="E34" s="241">
        <v>2003</v>
      </c>
      <c r="F34" s="241">
        <v>2004</v>
      </c>
      <c r="G34" s="241">
        <v>2005</v>
      </c>
      <c r="H34" s="241">
        <v>2006</v>
      </c>
      <c r="I34" s="241">
        <v>2007</v>
      </c>
      <c r="J34" s="241">
        <v>2008</v>
      </c>
      <c r="K34" s="241">
        <v>2009</v>
      </c>
      <c r="L34" s="241">
        <v>2010</v>
      </c>
      <c r="M34" s="241">
        <v>2011</v>
      </c>
      <c r="N34" s="241">
        <v>2012</v>
      </c>
      <c r="O34" s="241">
        <v>2013</v>
      </c>
      <c r="P34" s="241">
        <v>2014</v>
      </c>
      <c r="Q34" s="241">
        <v>2015</v>
      </c>
      <c r="R34" s="241">
        <v>2016</v>
      </c>
      <c r="S34" s="241">
        <v>2017</v>
      </c>
      <c r="T34" s="241">
        <v>2018</v>
      </c>
      <c r="U34" s="241">
        <v>2019</v>
      </c>
      <c r="V34" s="241">
        <v>2020</v>
      </c>
      <c r="W34" s="241">
        <v>2021</v>
      </c>
      <c r="X34" s="241">
        <v>2022</v>
      </c>
      <c r="Y34" s="241">
        <v>2023</v>
      </c>
      <c r="Z34" s="241">
        <v>2024</v>
      </c>
      <c r="AA34" s="241">
        <v>2025</v>
      </c>
      <c r="AB34" s="241">
        <v>2026</v>
      </c>
      <c r="AC34" s="241">
        <v>2027</v>
      </c>
      <c r="AD34" s="241">
        <v>2028</v>
      </c>
      <c r="AE34" s="241">
        <v>2029</v>
      </c>
      <c r="AF34" s="241">
        <v>2030</v>
      </c>
      <c r="AG34" s="241">
        <v>2031</v>
      </c>
      <c r="AH34" s="241">
        <v>2032</v>
      </c>
      <c r="AI34" s="241">
        <v>2033</v>
      </c>
      <c r="AJ34" s="241">
        <v>2034</v>
      </c>
      <c r="AK34" s="241">
        <v>2035</v>
      </c>
      <c r="AL34" s="241">
        <v>2036</v>
      </c>
      <c r="AM34" s="241">
        <v>2037</v>
      </c>
      <c r="AN34" s="241">
        <v>2038</v>
      </c>
      <c r="AO34" s="241">
        <v>2039</v>
      </c>
      <c r="AP34" s="241">
        <v>2040</v>
      </c>
      <c r="AQ34" s="241">
        <v>2041</v>
      </c>
      <c r="AR34" s="241">
        <v>2042</v>
      </c>
      <c r="AS34" s="241">
        <v>2043</v>
      </c>
      <c r="AT34" s="241">
        <v>2044</v>
      </c>
      <c r="AU34" s="241">
        <v>2045</v>
      </c>
      <c r="AV34" s="241">
        <v>2046</v>
      </c>
      <c r="AW34" s="241">
        <v>2047</v>
      </c>
      <c r="AX34" s="241">
        <v>2048</v>
      </c>
      <c r="AY34" s="241">
        <v>2049</v>
      </c>
      <c r="AZ34" s="241">
        <v>2050</v>
      </c>
      <c r="BA34" s="241">
        <v>2051</v>
      </c>
      <c r="BB34" s="241">
        <v>2052</v>
      </c>
      <c r="BC34" s="241">
        <v>2053</v>
      </c>
      <c r="BD34" s="241">
        <v>2054</v>
      </c>
      <c r="BE34" s="241">
        <v>2055</v>
      </c>
      <c r="BF34" s="241">
        <v>2056</v>
      </c>
      <c r="BG34" s="241">
        <v>2057</v>
      </c>
      <c r="BH34" s="241">
        <v>2058</v>
      </c>
      <c r="BJ34" s="302" t="str">
        <f t="shared" ref="BJ34" si="22">B35&amp;"th FLOOR"</f>
        <v>20th FLOOR</v>
      </c>
      <c r="BK34" s="303"/>
      <c r="BL34" s="303"/>
      <c r="BM34" s="303"/>
      <c r="BN34" s="303"/>
      <c r="BO34" s="304"/>
    </row>
    <row r="35" spans="2:67" ht="14.25" customHeight="1" x14ac:dyDescent="0.2">
      <c r="B35" s="246">
        <v>20</v>
      </c>
      <c r="C35" s="240" t="str" cm="1">
        <f t="array" ref="C35:BH35">_xlfn.XLOOKUP(C34:BH34,'[1]111W_BUILDING MATRIX'!$B$8:$B$600,'[1]111W_BUILDING MATRIX'!$E$8:$E$600,"--")</f>
        <v>--</v>
      </c>
      <c r="D35" s="240" t="str">
        <v>--</v>
      </c>
      <c r="E35" s="240" t="str">
        <v>--</v>
      </c>
      <c r="F35" s="240" t="str">
        <v>--</v>
      </c>
      <c r="G35" s="240" t="str">
        <v>--</v>
      </c>
      <c r="H35" s="240" t="str">
        <v>--</v>
      </c>
      <c r="I35" s="240" t="str">
        <v>--</v>
      </c>
      <c r="J35" s="240" t="str">
        <v>--</v>
      </c>
      <c r="K35" s="240" t="str">
        <v>--</v>
      </c>
      <c r="L35" s="240" t="str">
        <v>--</v>
      </c>
      <c r="M35" s="240" t="str">
        <v>--</v>
      </c>
      <c r="N35" s="240" t="str">
        <v>--</v>
      </c>
      <c r="O35" s="240" t="str">
        <v>--</v>
      </c>
      <c r="P35" s="240" t="str">
        <v>--</v>
      </c>
      <c r="Q35" s="240" t="str">
        <v>--</v>
      </c>
      <c r="R35" s="240" t="str">
        <v>--</v>
      </c>
      <c r="S35" s="240" t="str">
        <v>--</v>
      </c>
      <c r="T35" s="240" t="str">
        <v>--</v>
      </c>
      <c r="U35" s="240" t="str">
        <v>--</v>
      </c>
      <c r="V35" s="240" t="str">
        <v>--</v>
      </c>
      <c r="W35" s="240" t="str">
        <v>--</v>
      </c>
      <c r="X35" s="240" t="str">
        <v>--</v>
      </c>
      <c r="Y35" s="240" t="str">
        <v>--</v>
      </c>
      <c r="Z35" s="240" t="str">
        <v>--</v>
      </c>
      <c r="AA35" s="240" t="str">
        <v>--</v>
      </c>
      <c r="AB35" s="240" t="str">
        <v>--</v>
      </c>
      <c r="AC35" s="240" t="str">
        <v>--</v>
      </c>
      <c r="AD35" s="240" t="str">
        <v>--</v>
      </c>
      <c r="AE35" s="240" t="str">
        <v>--</v>
      </c>
      <c r="AF35" s="240" t="str">
        <v>--</v>
      </c>
      <c r="AG35" s="240" t="str">
        <v>--</v>
      </c>
      <c r="AH35" s="240" t="str">
        <v>--</v>
      </c>
      <c r="AI35" s="240" t="str">
        <v>--</v>
      </c>
      <c r="AJ35" s="240" t="str">
        <v>--</v>
      </c>
      <c r="AK35" s="240" t="str">
        <v>--</v>
      </c>
      <c r="AL35" s="240" t="str">
        <v>--</v>
      </c>
      <c r="AM35" s="240" t="str">
        <v>--</v>
      </c>
      <c r="AN35" s="240" t="str">
        <v>--</v>
      </c>
      <c r="AO35" s="240" t="str">
        <v>--</v>
      </c>
      <c r="AP35" s="240" t="str">
        <v>--</v>
      </c>
      <c r="AQ35" s="240" t="str">
        <v>--</v>
      </c>
      <c r="AR35" s="240" t="str">
        <v>--</v>
      </c>
      <c r="AS35" s="240" t="str">
        <v>--</v>
      </c>
      <c r="AT35" s="240" t="str">
        <v>--</v>
      </c>
      <c r="AU35" s="240" t="str">
        <v>--</v>
      </c>
      <c r="AV35" s="240" t="str">
        <v>--</v>
      </c>
      <c r="AW35" s="240" t="str">
        <v>--</v>
      </c>
      <c r="AX35" s="240" t="str">
        <v>--</v>
      </c>
      <c r="AY35" s="240" t="str">
        <v>--</v>
      </c>
      <c r="AZ35" s="240" t="str">
        <v>--</v>
      </c>
      <c r="BA35" s="240" t="str">
        <v>--</v>
      </c>
      <c r="BB35" s="240" t="str">
        <v>--</v>
      </c>
      <c r="BC35" s="240" t="str">
        <v>--</v>
      </c>
      <c r="BD35" s="240" t="str">
        <v>--</v>
      </c>
      <c r="BE35" s="240" t="str">
        <v>--</v>
      </c>
      <c r="BF35" s="240" t="str">
        <v>--</v>
      </c>
      <c r="BG35" s="240" t="str">
        <v>--</v>
      </c>
      <c r="BH35" s="240" t="str">
        <v>--</v>
      </c>
      <c r="BJ35" s="347">
        <f t="shared" ref="BJ35" si="23">COUNTIF(C36:BH36, "D")</f>
        <v>0</v>
      </c>
      <c r="BK35" s="349" t="s">
        <v>16</v>
      </c>
      <c r="BL35" s="349"/>
      <c r="BM35" s="349"/>
      <c r="BN35" s="349">
        <f t="shared" ref="BN35" si="24" xml:space="preserve"> COUNTIF(C36:BH36,"&lt;&gt;--")</f>
        <v>0</v>
      </c>
      <c r="BO35" s="351" t="e">
        <f t="shared" ref="BO35" si="25">BJ35/BN35</f>
        <v>#DIV/0!</v>
      </c>
    </row>
    <row r="36" spans="2:67" ht="15" customHeight="1" thickBot="1" x14ac:dyDescent="0.25">
      <c r="B36" s="247" t="str">
        <v/>
      </c>
      <c r="C36" s="239" t="str" cm="1">
        <f t="array" ref="C36:BH36">_xlfn.XLOOKUP(C34:BH34,'[1]111W_BUILDING MATRIX'!$B$8:$B$600,'[1]111W_BUILDING MATRIX'!$H$8:$H$600,"--")</f>
        <v>--</v>
      </c>
      <c r="D36" s="239" t="str">
        <v>--</v>
      </c>
      <c r="E36" s="239" t="str">
        <v>--</v>
      </c>
      <c r="F36" s="239" t="str">
        <v>--</v>
      </c>
      <c r="G36" s="239" t="str">
        <v>--</v>
      </c>
      <c r="H36" s="239" t="str">
        <v>--</v>
      </c>
      <c r="I36" s="239" t="str">
        <v>--</v>
      </c>
      <c r="J36" s="239" t="str">
        <v>--</v>
      </c>
      <c r="K36" s="239" t="str">
        <v>--</v>
      </c>
      <c r="L36" s="239" t="str">
        <v>--</v>
      </c>
      <c r="M36" s="239" t="str">
        <v>--</v>
      </c>
      <c r="N36" s="239" t="str">
        <v>--</v>
      </c>
      <c r="O36" s="239" t="str">
        <v>--</v>
      </c>
      <c r="P36" s="239" t="str">
        <v>--</v>
      </c>
      <c r="Q36" s="239" t="str">
        <v>--</v>
      </c>
      <c r="R36" s="239" t="str">
        <v>--</v>
      </c>
      <c r="S36" s="239" t="str">
        <v>--</v>
      </c>
      <c r="T36" s="239" t="str">
        <v>--</v>
      </c>
      <c r="U36" s="239" t="str">
        <v>--</v>
      </c>
      <c r="V36" s="239" t="str">
        <v>--</v>
      </c>
      <c r="W36" s="239" t="str">
        <v>--</v>
      </c>
      <c r="X36" s="239" t="str">
        <v>--</v>
      </c>
      <c r="Y36" s="239" t="str">
        <v>--</v>
      </c>
      <c r="Z36" s="239" t="str">
        <v>--</v>
      </c>
      <c r="AA36" s="239" t="str">
        <v>--</v>
      </c>
      <c r="AB36" s="239" t="str">
        <v>--</v>
      </c>
      <c r="AC36" s="239" t="str">
        <v>--</v>
      </c>
      <c r="AD36" s="239" t="str">
        <v>--</v>
      </c>
      <c r="AE36" s="239" t="str">
        <v>--</v>
      </c>
      <c r="AF36" s="239" t="str">
        <v>--</v>
      </c>
      <c r="AG36" s="239" t="str">
        <v>--</v>
      </c>
      <c r="AH36" s="239" t="str">
        <v>--</v>
      </c>
      <c r="AI36" s="239" t="str">
        <v>--</v>
      </c>
      <c r="AJ36" s="239" t="str">
        <v>--</v>
      </c>
      <c r="AK36" s="239" t="str">
        <v>--</v>
      </c>
      <c r="AL36" s="239" t="str">
        <v>--</v>
      </c>
      <c r="AM36" s="239" t="str">
        <v>--</v>
      </c>
      <c r="AN36" s="239" t="str">
        <v>--</v>
      </c>
      <c r="AO36" s="239" t="str">
        <v>--</v>
      </c>
      <c r="AP36" s="239" t="str">
        <v>--</v>
      </c>
      <c r="AQ36" s="239" t="str">
        <v>--</v>
      </c>
      <c r="AR36" s="239" t="str">
        <v>--</v>
      </c>
      <c r="AS36" s="239" t="str">
        <v>--</v>
      </c>
      <c r="AT36" s="239" t="str">
        <v>--</v>
      </c>
      <c r="AU36" s="239" t="str">
        <v>--</v>
      </c>
      <c r="AV36" s="239" t="str">
        <v>--</v>
      </c>
      <c r="AW36" s="239" t="str">
        <v>--</v>
      </c>
      <c r="AX36" s="239" t="str">
        <v>--</v>
      </c>
      <c r="AY36" s="239" t="str">
        <v>--</v>
      </c>
      <c r="AZ36" s="239" t="str">
        <v>--</v>
      </c>
      <c r="BA36" s="239" t="str">
        <v>--</v>
      </c>
      <c r="BB36" s="239" t="str">
        <v>--</v>
      </c>
      <c r="BC36" s="239" t="str">
        <v>--</v>
      </c>
      <c r="BD36" s="239" t="str">
        <v>--</v>
      </c>
      <c r="BE36" s="239" t="str">
        <v>--</v>
      </c>
      <c r="BF36" s="239" t="str">
        <v>--</v>
      </c>
      <c r="BG36" s="239" t="str">
        <v>--</v>
      </c>
      <c r="BH36" s="239" t="str">
        <v>--</v>
      </c>
      <c r="BJ36" s="348"/>
      <c r="BK36" s="350"/>
      <c r="BL36" s="350"/>
      <c r="BM36" s="350"/>
      <c r="BN36" s="350"/>
      <c r="BO36" s="352"/>
    </row>
    <row r="37" spans="2:67" ht="18" customHeight="1" x14ac:dyDescent="0.2">
      <c r="B37" s="245" t="str">
        <v/>
      </c>
      <c r="C37" s="241" cm="1">
        <f t="array" ref="C37:BH37">$B38*100+C$5:BH$5</f>
        <v>1901</v>
      </c>
      <c r="D37" s="241">
        <v>1902</v>
      </c>
      <c r="E37" s="241">
        <v>1903</v>
      </c>
      <c r="F37" s="241">
        <v>1904</v>
      </c>
      <c r="G37" s="241">
        <v>1905</v>
      </c>
      <c r="H37" s="241">
        <v>1906</v>
      </c>
      <c r="I37" s="241">
        <v>1907</v>
      </c>
      <c r="J37" s="241">
        <v>1908</v>
      </c>
      <c r="K37" s="241">
        <v>1909</v>
      </c>
      <c r="L37" s="241">
        <v>1910</v>
      </c>
      <c r="M37" s="241">
        <v>1911</v>
      </c>
      <c r="N37" s="241">
        <v>1912</v>
      </c>
      <c r="O37" s="241">
        <v>1913</v>
      </c>
      <c r="P37" s="241">
        <v>1914</v>
      </c>
      <c r="Q37" s="241">
        <v>1915</v>
      </c>
      <c r="R37" s="241">
        <v>1916</v>
      </c>
      <c r="S37" s="241">
        <v>1917</v>
      </c>
      <c r="T37" s="241">
        <v>1918</v>
      </c>
      <c r="U37" s="241">
        <v>1919</v>
      </c>
      <c r="V37" s="241">
        <v>1920</v>
      </c>
      <c r="W37" s="241">
        <v>1921</v>
      </c>
      <c r="X37" s="241">
        <v>1922</v>
      </c>
      <c r="Y37" s="241">
        <v>1923</v>
      </c>
      <c r="Z37" s="241">
        <v>1924</v>
      </c>
      <c r="AA37" s="241">
        <v>1925</v>
      </c>
      <c r="AB37" s="241">
        <v>1926</v>
      </c>
      <c r="AC37" s="241">
        <v>1927</v>
      </c>
      <c r="AD37" s="241">
        <v>1928</v>
      </c>
      <c r="AE37" s="241">
        <v>1929</v>
      </c>
      <c r="AF37" s="241">
        <v>1930</v>
      </c>
      <c r="AG37" s="241">
        <v>1931</v>
      </c>
      <c r="AH37" s="241">
        <v>1932</v>
      </c>
      <c r="AI37" s="241">
        <v>1933</v>
      </c>
      <c r="AJ37" s="241">
        <v>1934</v>
      </c>
      <c r="AK37" s="241">
        <v>1935</v>
      </c>
      <c r="AL37" s="241">
        <v>1936</v>
      </c>
      <c r="AM37" s="241">
        <v>1937</v>
      </c>
      <c r="AN37" s="241">
        <v>1938</v>
      </c>
      <c r="AO37" s="241">
        <v>1939</v>
      </c>
      <c r="AP37" s="241">
        <v>1940</v>
      </c>
      <c r="AQ37" s="241">
        <v>1941</v>
      </c>
      <c r="AR37" s="241">
        <v>1942</v>
      </c>
      <c r="AS37" s="241">
        <v>1943</v>
      </c>
      <c r="AT37" s="241">
        <v>1944</v>
      </c>
      <c r="AU37" s="241">
        <v>1945</v>
      </c>
      <c r="AV37" s="241">
        <v>1946</v>
      </c>
      <c r="AW37" s="241">
        <v>1947</v>
      </c>
      <c r="AX37" s="241">
        <v>1948</v>
      </c>
      <c r="AY37" s="241">
        <v>1949</v>
      </c>
      <c r="AZ37" s="241">
        <v>1950</v>
      </c>
      <c r="BA37" s="241">
        <v>1951</v>
      </c>
      <c r="BB37" s="241">
        <v>1952</v>
      </c>
      <c r="BC37" s="241">
        <v>1953</v>
      </c>
      <c r="BD37" s="241">
        <v>1954</v>
      </c>
      <c r="BE37" s="241">
        <v>1955</v>
      </c>
      <c r="BF37" s="241">
        <v>1956</v>
      </c>
      <c r="BG37" s="241">
        <v>1957</v>
      </c>
      <c r="BH37" s="241">
        <v>1958</v>
      </c>
      <c r="BJ37" s="302" t="str">
        <f>B38&amp;"th FLOOR"</f>
        <v>19th FLOOR</v>
      </c>
      <c r="BK37" s="303"/>
      <c r="BL37" s="303"/>
      <c r="BM37" s="303"/>
      <c r="BN37" s="303"/>
      <c r="BO37" s="304"/>
    </row>
    <row r="38" spans="2:67" ht="14.25" customHeight="1" x14ac:dyDescent="0.2">
      <c r="B38" s="246">
        <v>19</v>
      </c>
      <c r="C38" s="240" t="str" cm="1">
        <f t="array" ref="C38:BH38">_xlfn.XLOOKUP(C37:BH37,'[1]111W_BUILDING MATRIX'!$B$8:$B$600,'[1]111W_BUILDING MATRIX'!$E$8:$E$600,"--")</f>
        <v>--</v>
      </c>
      <c r="D38" s="240" t="str">
        <v>--</v>
      </c>
      <c r="E38" s="240" t="str">
        <v>--</v>
      </c>
      <c r="F38" s="240" t="str">
        <v>--</v>
      </c>
      <c r="G38" s="240" t="str">
        <v>--</v>
      </c>
      <c r="H38" s="240" t="str">
        <v>--</v>
      </c>
      <c r="I38" s="240" t="str">
        <v>--</v>
      </c>
      <c r="J38" s="240" t="str">
        <v>--</v>
      </c>
      <c r="K38" s="240" t="str">
        <v>--</v>
      </c>
      <c r="L38" s="240" t="str">
        <v>--</v>
      </c>
      <c r="M38" s="240" t="str">
        <v>--</v>
      </c>
      <c r="N38" s="240" t="str">
        <v>--</v>
      </c>
      <c r="O38" s="240" t="str">
        <v>--</v>
      </c>
      <c r="P38" s="240" t="str">
        <v>--</v>
      </c>
      <c r="Q38" s="240" t="str">
        <v>--</v>
      </c>
      <c r="R38" s="240" t="str">
        <v>--</v>
      </c>
      <c r="S38" s="240" t="str">
        <v>--</v>
      </c>
      <c r="T38" s="240" t="str">
        <v>--</v>
      </c>
      <c r="U38" s="240" t="str">
        <v>--</v>
      </c>
      <c r="V38" s="240" t="str">
        <v>--</v>
      </c>
      <c r="W38" s="240" t="str">
        <v>--</v>
      </c>
      <c r="X38" s="240" t="str">
        <v>--</v>
      </c>
      <c r="Y38" s="240" t="str">
        <v>--</v>
      </c>
      <c r="Z38" s="240" t="str">
        <v>--</v>
      </c>
      <c r="AA38" s="240" t="str">
        <v>--</v>
      </c>
      <c r="AB38" s="240" t="str">
        <v>--</v>
      </c>
      <c r="AC38" s="240" t="str">
        <v>--</v>
      </c>
      <c r="AD38" s="240" t="str">
        <v>--</v>
      </c>
      <c r="AE38" s="240" t="str">
        <v>--</v>
      </c>
      <c r="AF38" s="240" t="str">
        <v>--</v>
      </c>
      <c r="AG38" s="240" t="str">
        <v>--</v>
      </c>
      <c r="AH38" s="240" t="str">
        <v>--</v>
      </c>
      <c r="AI38" s="240" t="str">
        <v>--</v>
      </c>
      <c r="AJ38" s="240" t="str">
        <v>--</v>
      </c>
      <c r="AK38" s="240" t="str">
        <v>--</v>
      </c>
      <c r="AL38" s="240" t="str">
        <v>--</v>
      </c>
      <c r="AM38" s="240" t="str">
        <v>--</v>
      </c>
      <c r="AN38" s="240" t="str">
        <v>--</v>
      </c>
      <c r="AO38" s="240" t="str">
        <v>--</v>
      </c>
      <c r="AP38" s="240" t="str">
        <v>--</v>
      </c>
      <c r="AQ38" s="240" t="str">
        <v>--</v>
      </c>
      <c r="AR38" s="240" t="str">
        <v>--</v>
      </c>
      <c r="AS38" s="240" t="str">
        <v>--</v>
      </c>
      <c r="AT38" s="240" t="str">
        <v>--</v>
      </c>
      <c r="AU38" s="240" t="str">
        <v>--</v>
      </c>
      <c r="AV38" s="240" t="str">
        <v>--</v>
      </c>
      <c r="AW38" s="240" t="str">
        <v>--</v>
      </c>
      <c r="AX38" s="240" t="str">
        <v>--</v>
      </c>
      <c r="AY38" s="240" t="str">
        <v>--</v>
      </c>
      <c r="AZ38" s="240" t="str">
        <v>--</v>
      </c>
      <c r="BA38" s="240" t="str">
        <v>--</v>
      </c>
      <c r="BB38" s="240" t="str">
        <v>--</v>
      </c>
      <c r="BC38" s="240" t="str">
        <v>--</v>
      </c>
      <c r="BD38" s="240" t="str">
        <v>--</v>
      </c>
      <c r="BE38" s="240" t="str">
        <v>--</v>
      </c>
      <c r="BF38" s="240" t="str">
        <v>--</v>
      </c>
      <c r="BG38" s="240" t="str">
        <v>--</v>
      </c>
      <c r="BH38" s="240" t="str">
        <v>--</v>
      </c>
      <c r="BJ38" s="347">
        <f>COUNTIF(C39:BH39, "D")</f>
        <v>0</v>
      </c>
      <c r="BK38" s="349" t="s">
        <v>16</v>
      </c>
      <c r="BL38" s="349"/>
      <c r="BM38" s="349"/>
      <c r="BN38" s="349">
        <f xml:space="preserve"> COUNTIF(C39:BH39,"&lt;&gt;--")</f>
        <v>0</v>
      </c>
      <c r="BO38" s="351" t="e">
        <f>BJ38/BN38</f>
        <v>#DIV/0!</v>
      </c>
    </row>
    <row r="39" spans="2:67" ht="15" customHeight="1" thickBot="1" x14ac:dyDescent="0.25">
      <c r="B39" s="247" t="str">
        <v/>
      </c>
      <c r="C39" s="239" t="str" cm="1">
        <f t="array" ref="C39:BH39">_xlfn.XLOOKUP(C37:BH37,'[1]111W_BUILDING MATRIX'!$B$8:$B$600,'[1]111W_BUILDING MATRIX'!$H$8:$H$600,"--")</f>
        <v>--</v>
      </c>
      <c r="D39" s="239" t="str">
        <v>--</v>
      </c>
      <c r="E39" s="239" t="str">
        <v>--</v>
      </c>
      <c r="F39" s="239" t="str">
        <v>--</v>
      </c>
      <c r="G39" s="239" t="str">
        <v>--</v>
      </c>
      <c r="H39" s="239" t="str">
        <v>--</v>
      </c>
      <c r="I39" s="239" t="str">
        <v>--</v>
      </c>
      <c r="J39" s="239" t="str">
        <v>--</v>
      </c>
      <c r="K39" s="239" t="str">
        <v>--</v>
      </c>
      <c r="L39" s="239" t="str">
        <v>--</v>
      </c>
      <c r="M39" s="239" t="str">
        <v>--</v>
      </c>
      <c r="N39" s="239" t="str">
        <v>--</v>
      </c>
      <c r="O39" s="239" t="str">
        <v>--</v>
      </c>
      <c r="P39" s="239" t="str">
        <v>--</v>
      </c>
      <c r="Q39" s="239" t="str">
        <v>--</v>
      </c>
      <c r="R39" s="239" t="str">
        <v>--</v>
      </c>
      <c r="S39" s="239" t="str">
        <v>--</v>
      </c>
      <c r="T39" s="239" t="str">
        <v>--</v>
      </c>
      <c r="U39" s="239" t="str">
        <v>--</v>
      </c>
      <c r="V39" s="239" t="str">
        <v>--</v>
      </c>
      <c r="W39" s="239" t="str">
        <v>--</v>
      </c>
      <c r="X39" s="239" t="str">
        <v>--</v>
      </c>
      <c r="Y39" s="239" t="str">
        <v>--</v>
      </c>
      <c r="Z39" s="239" t="str">
        <v>--</v>
      </c>
      <c r="AA39" s="239" t="str">
        <v>--</v>
      </c>
      <c r="AB39" s="239" t="str">
        <v>--</v>
      </c>
      <c r="AC39" s="239" t="str">
        <v>--</v>
      </c>
      <c r="AD39" s="239" t="str">
        <v>--</v>
      </c>
      <c r="AE39" s="239" t="str">
        <v>--</v>
      </c>
      <c r="AF39" s="239" t="str">
        <v>--</v>
      </c>
      <c r="AG39" s="239" t="str">
        <v>--</v>
      </c>
      <c r="AH39" s="239" t="str">
        <v>--</v>
      </c>
      <c r="AI39" s="239" t="str">
        <v>--</v>
      </c>
      <c r="AJ39" s="239" t="str">
        <v>--</v>
      </c>
      <c r="AK39" s="239" t="str">
        <v>--</v>
      </c>
      <c r="AL39" s="239" t="str">
        <v>--</v>
      </c>
      <c r="AM39" s="239" t="str">
        <v>--</v>
      </c>
      <c r="AN39" s="239" t="str">
        <v>--</v>
      </c>
      <c r="AO39" s="239" t="str">
        <v>--</v>
      </c>
      <c r="AP39" s="239" t="str">
        <v>--</v>
      </c>
      <c r="AQ39" s="239" t="str">
        <v>--</v>
      </c>
      <c r="AR39" s="239" t="str">
        <v>--</v>
      </c>
      <c r="AS39" s="239" t="str">
        <v>--</v>
      </c>
      <c r="AT39" s="239" t="str">
        <v>--</v>
      </c>
      <c r="AU39" s="239" t="str">
        <v>--</v>
      </c>
      <c r="AV39" s="239" t="str">
        <v>--</v>
      </c>
      <c r="AW39" s="239" t="str">
        <v>--</v>
      </c>
      <c r="AX39" s="239" t="str">
        <v>--</v>
      </c>
      <c r="AY39" s="239" t="str">
        <v>--</v>
      </c>
      <c r="AZ39" s="239" t="str">
        <v>--</v>
      </c>
      <c r="BA39" s="239" t="str">
        <v>--</v>
      </c>
      <c r="BB39" s="239" t="str">
        <v>--</v>
      </c>
      <c r="BC39" s="239" t="str">
        <v>--</v>
      </c>
      <c r="BD39" s="239" t="str">
        <v>--</v>
      </c>
      <c r="BE39" s="239" t="str">
        <v>--</v>
      </c>
      <c r="BF39" s="239" t="str">
        <v>--</v>
      </c>
      <c r="BG39" s="239" t="str">
        <v>--</v>
      </c>
      <c r="BH39" s="239" t="str">
        <v>--</v>
      </c>
      <c r="BJ39" s="348"/>
      <c r="BK39" s="350"/>
      <c r="BL39" s="350"/>
      <c r="BM39" s="350"/>
      <c r="BN39" s="350"/>
      <c r="BO39" s="352"/>
    </row>
    <row r="40" spans="2:67" ht="18" customHeight="1" x14ac:dyDescent="0.2">
      <c r="B40" s="245" t="str">
        <v/>
      </c>
      <c r="C40" s="241" cm="1">
        <f t="array" ref="C40:BH40">$B41*100+C$5:BH$5</f>
        <v>1801</v>
      </c>
      <c r="D40" s="241">
        <v>1802</v>
      </c>
      <c r="E40" s="241">
        <v>1803</v>
      </c>
      <c r="F40" s="241">
        <v>1804</v>
      </c>
      <c r="G40" s="241">
        <v>1805</v>
      </c>
      <c r="H40" s="241">
        <v>1806</v>
      </c>
      <c r="I40" s="241">
        <v>1807</v>
      </c>
      <c r="J40" s="241">
        <v>1808</v>
      </c>
      <c r="K40" s="241">
        <v>1809</v>
      </c>
      <c r="L40" s="241">
        <v>1810</v>
      </c>
      <c r="M40" s="241">
        <v>1811</v>
      </c>
      <c r="N40" s="241">
        <v>1812</v>
      </c>
      <c r="O40" s="241">
        <v>1813</v>
      </c>
      <c r="P40" s="241">
        <v>1814</v>
      </c>
      <c r="Q40" s="241">
        <v>1815</v>
      </c>
      <c r="R40" s="241">
        <v>1816</v>
      </c>
      <c r="S40" s="241">
        <v>1817</v>
      </c>
      <c r="T40" s="241">
        <v>1818</v>
      </c>
      <c r="U40" s="241">
        <v>1819</v>
      </c>
      <c r="V40" s="241">
        <v>1820</v>
      </c>
      <c r="W40" s="241">
        <v>1821</v>
      </c>
      <c r="X40" s="241">
        <v>1822</v>
      </c>
      <c r="Y40" s="241">
        <v>1823</v>
      </c>
      <c r="Z40" s="241">
        <v>1824</v>
      </c>
      <c r="AA40" s="241">
        <v>1825</v>
      </c>
      <c r="AB40" s="241">
        <v>1826</v>
      </c>
      <c r="AC40" s="241">
        <v>1827</v>
      </c>
      <c r="AD40" s="241">
        <v>1828</v>
      </c>
      <c r="AE40" s="241">
        <v>1829</v>
      </c>
      <c r="AF40" s="241">
        <v>1830</v>
      </c>
      <c r="AG40" s="241">
        <v>1831</v>
      </c>
      <c r="AH40" s="241">
        <v>1832</v>
      </c>
      <c r="AI40" s="241">
        <v>1833</v>
      </c>
      <c r="AJ40" s="241">
        <v>1834</v>
      </c>
      <c r="AK40" s="241">
        <v>1835</v>
      </c>
      <c r="AL40" s="241">
        <v>1836</v>
      </c>
      <c r="AM40" s="241">
        <v>1837</v>
      </c>
      <c r="AN40" s="241">
        <v>1838</v>
      </c>
      <c r="AO40" s="241">
        <v>1839</v>
      </c>
      <c r="AP40" s="241">
        <v>1840</v>
      </c>
      <c r="AQ40" s="241">
        <v>1841</v>
      </c>
      <c r="AR40" s="241">
        <v>1842</v>
      </c>
      <c r="AS40" s="241">
        <v>1843</v>
      </c>
      <c r="AT40" s="241">
        <v>1844</v>
      </c>
      <c r="AU40" s="241">
        <v>1845</v>
      </c>
      <c r="AV40" s="241">
        <v>1846</v>
      </c>
      <c r="AW40" s="241">
        <v>1847</v>
      </c>
      <c r="AX40" s="241">
        <v>1848</v>
      </c>
      <c r="AY40" s="241">
        <v>1849</v>
      </c>
      <c r="AZ40" s="241">
        <v>1850</v>
      </c>
      <c r="BA40" s="241">
        <v>1851</v>
      </c>
      <c r="BB40" s="241">
        <v>1852</v>
      </c>
      <c r="BC40" s="241">
        <v>1853</v>
      </c>
      <c r="BD40" s="241">
        <v>1854</v>
      </c>
      <c r="BE40" s="241">
        <v>1855</v>
      </c>
      <c r="BF40" s="241">
        <v>1856</v>
      </c>
      <c r="BG40" s="241">
        <v>1857</v>
      </c>
      <c r="BH40" s="241">
        <v>1858</v>
      </c>
      <c r="BJ40" s="302" t="str">
        <f>B41&amp;"th FLOOR"</f>
        <v>18th FLOOR</v>
      </c>
      <c r="BK40" s="303"/>
      <c r="BL40" s="303"/>
      <c r="BM40" s="303"/>
      <c r="BN40" s="303"/>
      <c r="BO40" s="304"/>
    </row>
    <row r="41" spans="2:67" ht="14.25" customHeight="1" x14ac:dyDescent="0.2">
      <c r="B41" s="246">
        <v>18</v>
      </c>
      <c r="C41" s="240" t="str" cm="1">
        <f t="array" ref="C41:BH41">_xlfn.XLOOKUP(C40:BH40,'[1]111W_BUILDING MATRIX'!$B$8:$B$600,'[1]111W_BUILDING MATRIX'!$E$8:$E$600,"--")</f>
        <v>--</v>
      </c>
      <c r="D41" s="240" t="str">
        <v>--</v>
      </c>
      <c r="E41" s="240" t="str">
        <v>--</v>
      </c>
      <c r="F41" s="240" t="str">
        <v>--</v>
      </c>
      <c r="G41" s="240" t="str">
        <v>--</v>
      </c>
      <c r="H41" s="240" t="str">
        <v>--</v>
      </c>
      <c r="I41" s="240" t="str">
        <v>--</v>
      </c>
      <c r="J41" s="240" t="str">
        <v>--</v>
      </c>
      <c r="K41" s="240" t="str">
        <v>--</v>
      </c>
      <c r="L41" s="240" t="str">
        <v>--</v>
      </c>
      <c r="M41" s="240" t="str">
        <v>--</v>
      </c>
      <c r="N41" s="240" t="str">
        <v>--</v>
      </c>
      <c r="O41" s="240" t="str">
        <v>--</v>
      </c>
      <c r="P41" s="240" t="str">
        <v>--</v>
      </c>
      <c r="Q41" s="240" t="str">
        <v>--</v>
      </c>
      <c r="R41" s="240" t="str">
        <v>--</v>
      </c>
      <c r="S41" s="240" t="str">
        <v>--</v>
      </c>
      <c r="T41" s="240" t="str">
        <v>--</v>
      </c>
      <c r="U41" s="240" t="str">
        <v>--</v>
      </c>
      <c r="V41" s="240" t="str">
        <v>--</v>
      </c>
      <c r="W41" s="240" t="str">
        <v>--</v>
      </c>
      <c r="X41" s="240" t="str">
        <v>--</v>
      </c>
      <c r="Y41" s="240" t="str">
        <v>--</v>
      </c>
      <c r="Z41" s="240" t="str">
        <v>--</v>
      </c>
      <c r="AA41" s="240" t="str">
        <v>--</v>
      </c>
      <c r="AB41" s="240" t="str">
        <v>--</v>
      </c>
      <c r="AC41" s="240" t="str">
        <v>--</v>
      </c>
      <c r="AD41" s="240" t="str">
        <v>--</v>
      </c>
      <c r="AE41" s="240" t="str">
        <v>--</v>
      </c>
      <c r="AF41" s="240" t="str">
        <v>--</v>
      </c>
      <c r="AG41" s="240" t="str">
        <v>--</v>
      </c>
      <c r="AH41" s="240" t="str">
        <v>--</v>
      </c>
      <c r="AI41" s="240" t="str">
        <v>--</v>
      </c>
      <c r="AJ41" s="240" t="str">
        <v>--</v>
      </c>
      <c r="AK41" s="240" t="str">
        <v>--</v>
      </c>
      <c r="AL41" s="240" t="str">
        <v>--</v>
      </c>
      <c r="AM41" s="240" t="str">
        <v>--</v>
      </c>
      <c r="AN41" s="240" t="str">
        <v>--</v>
      </c>
      <c r="AO41" s="240" t="str">
        <v>--</v>
      </c>
      <c r="AP41" s="240" t="str">
        <v>--</v>
      </c>
      <c r="AQ41" s="240" t="str">
        <v>--</v>
      </c>
      <c r="AR41" s="240" t="str">
        <v>--</v>
      </c>
      <c r="AS41" s="240" t="str">
        <v>--</v>
      </c>
      <c r="AT41" s="240" t="str">
        <v>--</v>
      </c>
      <c r="AU41" s="240" t="str">
        <v>--</v>
      </c>
      <c r="AV41" s="240" t="str">
        <v>--</v>
      </c>
      <c r="AW41" s="240" t="str">
        <v>--</v>
      </c>
      <c r="AX41" s="240" t="str">
        <v>--</v>
      </c>
      <c r="AY41" s="240" t="str">
        <v>--</v>
      </c>
      <c r="AZ41" s="240" t="str">
        <v>--</v>
      </c>
      <c r="BA41" s="240" t="str">
        <v>--</v>
      </c>
      <c r="BB41" s="240" t="str">
        <v>--</v>
      </c>
      <c r="BC41" s="240" t="str">
        <v>--</v>
      </c>
      <c r="BD41" s="240" t="str">
        <v>--</v>
      </c>
      <c r="BE41" s="240" t="str">
        <v>--</v>
      </c>
      <c r="BF41" s="240" t="str">
        <v>--</v>
      </c>
      <c r="BG41" s="240" t="str">
        <v>--</v>
      </c>
      <c r="BH41" s="240" t="str">
        <v>--</v>
      </c>
      <c r="BJ41" s="347">
        <f>COUNTIF(C42:BH42, "D")</f>
        <v>0</v>
      </c>
      <c r="BK41" s="349" t="s">
        <v>16</v>
      </c>
      <c r="BL41" s="349"/>
      <c r="BM41" s="349"/>
      <c r="BN41" s="349">
        <f xml:space="preserve"> COUNTIF(C42:BH42,"&lt;&gt;--")</f>
        <v>0</v>
      </c>
      <c r="BO41" s="351" t="e">
        <f>BJ41/BN41</f>
        <v>#DIV/0!</v>
      </c>
    </row>
    <row r="42" spans="2:67" ht="15" customHeight="1" thickBot="1" x14ac:dyDescent="0.25">
      <c r="B42" s="247" t="str">
        <v/>
      </c>
      <c r="C42" s="239" t="str" cm="1">
        <f t="array" ref="C42:BH42">_xlfn.XLOOKUP(C40:BH40,'[1]111W_BUILDING MATRIX'!$B$8:$B$600,'[1]111W_BUILDING MATRIX'!$H$8:$H$600,"--")</f>
        <v>--</v>
      </c>
      <c r="D42" s="239" t="str">
        <v>--</v>
      </c>
      <c r="E42" s="239" t="str">
        <v>--</v>
      </c>
      <c r="F42" s="239" t="str">
        <v>--</v>
      </c>
      <c r="G42" s="239" t="str">
        <v>--</v>
      </c>
      <c r="H42" s="239" t="str">
        <v>--</v>
      </c>
      <c r="I42" s="239" t="str">
        <v>--</v>
      </c>
      <c r="J42" s="239" t="str">
        <v>--</v>
      </c>
      <c r="K42" s="239" t="str">
        <v>--</v>
      </c>
      <c r="L42" s="239" t="str">
        <v>--</v>
      </c>
      <c r="M42" s="239" t="str">
        <v>--</v>
      </c>
      <c r="N42" s="239" t="str">
        <v>--</v>
      </c>
      <c r="O42" s="239" t="str">
        <v>--</v>
      </c>
      <c r="P42" s="239" t="str">
        <v>--</v>
      </c>
      <c r="Q42" s="239" t="str">
        <v>--</v>
      </c>
      <c r="R42" s="239" t="str">
        <v>--</v>
      </c>
      <c r="S42" s="239" t="str">
        <v>--</v>
      </c>
      <c r="T42" s="239" t="str">
        <v>--</v>
      </c>
      <c r="U42" s="239" t="str">
        <v>--</v>
      </c>
      <c r="V42" s="239" t="str">
        <v>--</v>
      </c>
      <c r="W42" s="239" t="str">
        <v>--</v>
      </c>
      <c r="X42" s="239" t="str">
        <v>--</v>
      </c>
      <c r="Y42" s="239" t="str">
        <v>--</v>
      </c>
      <c r="Z42" s="239" t="str">
        <v>--</v>
      </c>
      <c r="AA42" s="239" t="str">
        <v>--</v>
      </c>
      <c r="AB42" s="239" t="str">
        <v>--</v>
      </c>
      <c r="AC42" s="239" t="str">
        <v>--</v>
      </c>
      <c r="AD42" s="239" t="str">
        <v>--</v>
      </c>
      <c r="AE42" s="239" t="str">
        <v>--</v>
      </c>
      <c r="AF42" s="239" t="str">
        <v>--</v>
      </c>
      <c r="AG42" s="239" t="str">
        <v>--</v>
      </c>
      <c r="AH42" s="239" t="str">
        <v>--</v>
      </c>
      <c r="AI42" s="239" t="str">
        <v>--</v>
      </c>
      <c r="AJ42" s="239" t="str">
        <v>--</v>
      </c>
      <c r="AK42" s="239" t="str">
        <v>--</v>
      </c>
      <c r="AL42" s="239" t="str">
        <v>--</v>
      </c>
      <c r="AM42" s="239" t="str">
        <v>--</v>
      </c>
      <c r="AN42" s="239" t="str">
        <v>--</v>
      </c>
      <c r="AO42" s="239" t="str">
        <v>--</v>
      </c>
      <c r="AP42" s="239" t="str">
        <v>--</v>
      </c>
      <c r="AQ42" s="239" t="str">
        <v>--</v>
      </c>
      <c r="AR42" s="239" t="str">
        <v>--</v>
      </c>
      <c r="AS42" s="239" t="str">
        <v>--</v>
      </c>
      <c r="AT42" s="239" t="str">
        <v>--</v>
      </c>
      <c r="AU42" s="239" t="str">
        <v>--</v>
      </c>
      <c r="AV42" s="239" t="str">
        <v>--</v>
      </c>
      <c r="AW42" s="239" t="str">
        <v>--</v>
      </c>
      <c r="AX42" s="239" t="str">
        <v>--</v>
      </c>
      <c r="AY42" s="239" t="str">
        <v>--</v>
      </c>
      <c r="AZ42" s="239" t="str">
        <v>--</v>
      </c>
      <c r="BA42" s="239" t="str">
        <v>--</v>
      </c>
      <c r="BB42" s="239" t="str">
        <v>--</v>
      </c>
      <c r="BC42" s="239" t="str">
        <v>--</v>
      </c>
      <c r="BD42" s="239" t="str">
        <v>--</v>
      </c>
      <c r="BE42" s="239" t="str">
        <v>--</v>
      </c>
      <c r="BF42" s="239" t="str">
        <v>--</v>
      </c>
      <c r="BG42" s="239" t="str">
        <v>--</v>
      </c>
      <c r="BH42" s="239" t="str">
        <v>--</v>
      </c>
      <c r="BJ42" s="348"/>
      <c r="BK42" s="350"/>
      <c r="BL42" s="350"/>
      <c r="BM42" s="350"/>
      <c r="BN42" s="350"/>
      <c r="BO42" s="352"/>
    </row>
    <row r="43" spans="2:67" ht="18" customHeight="1" x14ac:dyDescent="0.2">
      <c r="B43" s="245" t="str">
        <v/>
      </c>
      <c r="C43" s="241" cm="1">
        <f t="array" ref="C43:BH43">$B44*100+C$5:BH$5</f>
        <v>1701</v>
      </c>
      <c r="D43" s="241">
        <v>1702</v>
      </c>
      <c r="E43" s="241">
        <v>1703</v>
      </c>
      <c r="F43" s="241">
        <v>1704</v>
      </c>
      <c r="G43" s="241">
        <v>1705</v>
      </c>
      <c r="H43" s="241">
        <v>1706</v>
      </c>
      <c r="I43" s="241">
        <v>1707</v>
      </c>
      <c r="J43" s="241">
        <v>1708</v>
      </c>
      <c r="K43" s="241">
        <v>1709</v>
      </c>
      <c r="L43" s="241">
        <v>1710</v>
      </c>
      <c r="M43" s="241">
        <v>1711</v>
      </c>
      <c r="N43" s="241">
        <v>1712</v>
      </c>
      <c r="O43" s="241">
        <v>1713</v>
      </c>
      <c r="P43" s="241">
        <v>1714</v>
      </c>
      <c r="Q43" s="241">
        <v>1715</v>
      </c>
      <c r="R43" s="241">
        <v>1716</v>
      </c>
      <c r="S43" s="241">
        <v>1717</v>
      </c>
      <c r="T43" s="241">
        <v>1718</v>
      </c>
      <c r="U43" s="241">
        <v>1719</v>
      </c>
      <c r="V43" s="241">
        <v>1720</v>
      </c>
      <c r="W43" s="241">
        <v>1721</v>
      </c>
      <c r="X43" s="241">
        <v>1722</v>
      </c>
      <c r="Y43" s="241">
        <v>1723</v>
      </c>
      <c r="Z43" s="241">
        <v>1724</v>
      </c>
      <c r="AA43" s="241">
        <v>1725</v>
      </c>
      <c r="AB43" s="241">
        <v>1726</v>
      </c>
      <c r="AC43" s="241">
        <v>1727</v>
      </c>
      <c r="AD43" s="241">
        <v>1728</v>
      </c>
      <c r="AE43" s="241">
        <v>1729</v>
      </c>
      <c r="AF43" s="241">
        <v>1730</v>
      </c>
      <c r="AG43" s="241">
        <v>1731</v>
      </c>
      <c r="AH43" s="241">
        <v>1732</v>
      </c>
      <c r="AI43" s="241">
        <v>1733</v>
      </c>
      <c r="AJ43" s="241">
        <v>1734</v>
      </c>
      <c r="AK43" s="241">
        <v>1735</v>
      </c>
      <c r="AL43" s="241">
        <v>1736</v>
      </c>
      <c r="AM43" s="241">
        <v>1737</v>
      </c>
      <c r="AN43" s="241">
        <v>1738</v>
      </c>
      <c r="AO43" s="241">
        <v>1739</v>
      </c>
      <c r="AP43" s="241">
        <v>1740</v>
      </c>
      <c r="AQ43" s="241">
        <v>1741</v>
      </c>
      <c r="AR43" s="241">
        <v>1742</v>
      </c>
      <c r="AS43" s="241">
        <v>1743</v>
      </c>
      <c r="AT43" s="241">
        <v>1744</v>
      </c>
      <c r="AU43" s="241">
        <v>1745</v>
      </c>
      <c r="AV43" s="241">
        <v>1746</v>
      </c>
      <c r="AW43" s="241">
        <v>1747</v>
      </c>
      <c r="AX43" s="241">
        <v>1748</v>
      </c>
      <c r="AY43" s="241">
        <v>1749</v>
      </c>
      <c r="AZ43" s="241">
        <v>1750</v>
      </c>
      <c r="BA43" s="241">
        <v>1751</v>
      </c>
      <c r="BB43" s="241">
        <v>1752</v>
      </c>
      <c r="BC43" s="241">
        <v>1753</v>
      </c>
      <c r="BD43" s="241">
        <v>1754</v>
      </c>
      <c r="BE43" s="241">
        <v>1755</v>
      </c>
      <c r="BF43" s="241">
        <v>1756</v>
      </c>
      <c r="BG43" s="241">
        <v>1757</v>
      </c>
      <c r="BH43" s="241">
        <v>1758</v>
      </c>
      <c r="BJ43" s="302" t="str">
        <f>B44&amp;"th FLOOR"</f>
        <v>17th FLOOR</v>
      </c>
      <c r="BK43" s="303"/>
      <c r="BL43" s="303"/>
      <c r="BM43" s="303"/>
      <c r="BN43" s="303"/>
      <c r="BO43" s="304"/>
    </row>
    <row r="44" spans="2:67" ht="14.25" customHeight="1" x14ac:dyDescent="0.2">
      <c r="B44" s="246">
        <v>17</v>
      </c>
      <c r="C44" s="240" t="str" cm="1">
        <f t="array" ref="C44:BH44">_xlfn.XLOOKUP(C43:BH43,'[1]111W_BUILDING MATRIX'!$B$8:$B$600,'[1]111W_BUILDING MATRIX'!$E$8:$E$600,"--")</f>
        <v>--</v>
      </c>
      <c r="D44" s="240" t="str">
        <v>--</v>
      </c>
      <c r="E44" s="240" t="str">
        <v>--</v>
      </c>
      <c r="F44" s="240" t="str">
        <v>--</v>
      </c>
      <c r="G44" s="240" t="str">
        <v>--</v>
      </c>
      <c r="H44" s="240" t="str">
        <v>--</v>
      </c>
      <c r="I44" s="240" t="str">
        <v>--</v>
      </c>
      <c r="J44" s="240" t="str">
        <v>--</v>
      </c>
      <c r="K44" s="240" t="str">
        <v>--</v>
      </c>
      <c r="L44" s="240" t="str">
        <v>--</v>
      </c>
      <c r="M44" s="240" t="str">
        <v>--</v>
      </c>
      <c r="N44" s="240" t="str">
        <v>--</v>
      </c>
      <c r="O44" s="240" t="str">
        <v>--</v>
      </c>
      <c r="P44" s="240" t="str">
        <v>--</v>
      </c>
      <c r="Q44" s="240" t="str">
        <v>--</v>
      </c>
      <c r="R44" s="240" t="str">
        <v>--</v>
      </c>
      <c r="S44" s="240" t="str">
        <v>--</v>
      </c>
      <c r="T44" s="240" t="str">
        <v>--</v>
      </c>
      <c r="U44" s="240" t="str">
        <v>--</v>
      </c>
      <c r="V44" s="240" t="str">
        <v>--</v>
      </c>
      <c r="W44" s="240" t="str">
        <v>--</v>
      </c>
      <c r="X44" s="240" t="str">
        <v>--</v>
      </c>
      <c r="Y44" s="240" t="str">
        <v>--</v>
      </c>
      <c r="Z44" s="240" t="str">
        <v>--</v>
      </c>
      <c r="AA44" s="240" t="str">
        <v>--</v>
      </c>
      <c r="AB44" s="240" t="str">
        <v>--</v>
      </c>
      <c r="AC44" s="240" t="str">
        <v>--</v>
      </c>
      <c r="AD44" s="240" t="str">
        <v>--</v>
      </c>
      <c r="AE44" s="240" t="str">
        <v>--</v>
      </c>
      <c r="AF44" s="240" t="str">
        <v>--</v>
      </c>
      <c r="AG44" s="240" t="str">
        <v>--</v>
      </c>
      <c r="AH44" s="240" t="str">
        <v>--</v>
      </c>
      <c r="AI44" s="240" t="str">
        <v>--</v>
      </c>
      <c r="AJ44" s="240" t="str">
        <v>--</v>
      </c>
      <c r="AK44" s="240" t="str">
        <v>--</v>
      </c>
      <c r="AL44" s="240" t="str">
        <v>--</v>
      </c>
      <c r="AM44" s="240" t="str">
        <v>--</v>
      </c>
      <c r="AN44" s="240" t="str">
        <v>--</v>
      </c>
      <c r="AO44" s="240" t="str">
        <v>--</v>
      </c>
      <c r="AP44" s="240" t="str">
        <v>--</v>
      </c>
      <c r="AQ44" s="240" t="str">
        <v>--</v>
      </c>
      <c r="AR44" s="240" t="str">
        <v>--</v>
      </c>
      <c r="AS44" s="240" t="str">
        <v>--</v>
      </c>
      <c r="AT44" s="240" t="str">
        <v>--</v>
      </c>
      <c r="AU44" s="240" t="str">
        <v>--</v>
      </c>
      <c r="AV44" s="240" t="str">
        <v>--</v>
      </c>
      <c r="AW44" s="240" t="str">
        <v>--</v>
      </c>
      <c r="AX44" s="240" t="str">
        <v>--</v>
      </c>
      <c r="AY44" s="240" t="str">
        <v>--</v>
      </c>
      <c r="AZ44" s="240" t="str">
        <v>--</v>
      </c>
      <c r="BA44" s="240" t="str">
        <v>--</v>
      </c>
      <c r="BB44" s="240" t="str">
        <v>--</v>
      </c>
      <c r="BC44" s="240" t="str">
        <v>--</v>
      </c>
      <c r="BD44" s="240" t="str">
        <v>--</v>
      </c>
      <c r="BE44" s="240" t="str">
        <v>--</v>
      </c>
      <c r="BF44" s="240" t="str">
        <v>--</v>
      </c>
      <c r="BG44" s="240" t="str">
        <v>--</v>
      </c>
      <c r="BH44" s="240" t="str">
        <v>--</v>
      </c>
      <c r="BJ44" s="347">
        <f t="shared" ref="BJ44" si="26">COUNTIF(C45:BH45, "D")</f>
        <v>0</v>
      </c>
      <c r="BK44" s="349" t="s">
        <v>16</v>
      </c>
      <c r="BL44" s="349"/>
      <c r="BM44" s="349"/>
      <c r="BN44" s="349">
        <f t="shared" ref="BN44" si="27" xml:space="preserve"> COUNTIF(C45:BH45,"&lt;&gt;--")</f>
        <v>0</v>
      </c>
      <c r="BO44" s="351" t="e">
        <f t="shared" ref="BO44" si="28">BJ44/BN44</f>
        <v>#DIV/0!</v>
      </c>
    </row>
    <row r="45" spans="2:67" ht="15" customHeight="1" thickBot="1" x14ac:dyDescent="0.25">
      <c r="B45" s="247" t="str">
        <v/>
      </c>
      <c r="C45" s="239" t="str" cm="1">
        <f t="array" ref="C45:BH45">_xlfn.XLOOKUP(C43:BH43,'[1]111W_BUILDING MATRIX'!$B$8:$B$600,'[1]111W_BUILDING MATRIX'!$H$8:$H$600,"--")</f>
        <v>--</v>
      </c>
      <c r="D45" s="239" t="str">
        <v>--</v>
      </c>
      <c r="E45" s="239" t="str">
        <v>--</v>
      </c>
      <c r="F45" s="239" t="str">
        <v>--</v>
      </c>
      <c r="G45" s="239" t="str">
        <v>--</v>
      </c>
      <c r="H45" s="239" t="str">
        <v>--</v>
      </c>
      <c r="I45" s="239" t="str">
        <v>--</v>
      </c>
      <c r="J45" s="239" t="str">
        <v>--</v>
      </c>
      <c r="K45" s="239" t="str">
        <v>--</v>
      </c>
      <c r="L45" s="239" t="str">
        <v>--</v>
      </c>
      <c r="M45" s="239" t="str">
        <v>--</v>
      </c>
      <c r="N45" s="239" t="str">
        <v>--</v>
      </c>
      <c r="O45" s="239" t="str">
        <v>--</v>
      </c>
      <c r="P45" s="239" t="str">
        <v>--</v>
      </c>
      <c r="Q45" s="239" t="str">
        <v>--</v>
      </c>
      <c r="R45" s="239" t="str">
        <v>--</v>
      </c>
      <c r="S45" s="239" t="str">
        <v>--</v>
      </c>
      <c r="T45" s="239" t="str">
        <v>--</v>
      </c>
      <c r="U45" s="239" t="str">
        <v>--</v>
      </c>
      <c r="V45" s="239" t="str">
        <v>--</v>
      </c>
      <c r="W45" s="239" t="str">
        <v>--</v>
      </c>
      <c r="X45" s="239" t="str">
        <v>--</v>
      </c>
      <c r="Y45" s="239" t="str">
        <v>--</v>
      </c>
      <c r="Z45" s="239" t="str">
        <v>--</v>
      </c>
      <c r="AA45" s="239" t="str">
        <v>--</v>
      </c>
      <c r="AB45" s="239" t="str">
        <v>--</v>
      </c>
      <c r="AC45" s="239" t="str">
        <v>--</v>
      </c>
      <c r="AD45" s="239" t="str">
        <v>--</v>
      </c>
      <c r="AE45" s="239" t="str">
        <v>--</v>
      </c>
      <c r="AF45" s="239" t="str">
        <v>--</v>
      </c>
      <c r="AG45" s="239" t="str">
        <v>--</v>
      </c>
      <c r="AH45" s="239" t="str">
        <v>--</v>
      </c>
      <c r="AI45" s="239" t="str">
        <v>--</v>
      </c>
      <c r="AJ45" s="239" t="str">
        <v>--</v>
      </c>
      <c r="AK45" s="239" t="str">
        <v>--</v>
      </c>
      <c r="AL45" s="239" t="str">
        <v>--</v>
      </c>
      <c r="AM45" s="239" t="str">
        <v>--</v>
      </c>
      <c r="AN45" s="239" t="str">
        <v>--</v>
      </c>
      <c r="AO45" s="239" t="str">
        <v>--</v>
      </c>
      <c r="AP45" s="239" t="str">
        <v>--</v>
      </c>
      <c r="AQ45" s="239" t="str">
        <v>--</v>
      </c>
      <c r="AR45" s="239" t="str">
        <v>--</v>
      </c>
      <c r="AS45" s="239" t="str">
        <v>--</v>
      </c>
      <c r="AT45" s="239" t="str">
        <v>--</v>
      </c>
      <c r="AU45" s="239" t="str">
        <v>--</v>
      </c>
      <c r="AV45" s="239" t="str">
        <v>--</v>
      </c>
      <c r="AW45" s="239" t="str">
        <v>--</v>
      </c>
      <c r="AX45" s="239" t="str">
        <v>--</v>
      </c>
      <c r="AY45" s="239" t="str">
        <v>--</v>
      </c>
      <c r="AZ45" s="239" t="str">
        <v>--</v>
      </c>
      <c r="BA45" s="239" t="str">
        <v>--</v>
      </c>
      <c r="BB45" s="239" t="str">
        <v>--</v>
      </c>
      <c r="BC45" s="239" t="str">
        <v>--</v>
      </c>
      <c r="BD45" s="239" t="str">
        <v>--</v>
      </c>
      <c r="BE45" s="239" t="str">
        <v>--</v>
      </c>
      <c r="BF45" s="239" t="str">
        <v>--</v>
      </c>
      <c r="BG45" s="239" t="str">
        <v>--</v>
      </c>
      <c r="BH45" s="239" t="str">
        <v>--</v>
      </c>
      <c r="BJ45" s="348"/>
      <c r="BK45" s="350"/>
      <c r="BL45" s="350"/>
      <c r="BM45" s="350"/>
      <c r="BN45" s="350"/>
      <c r="BO45" s="352"/>
    </row>
    <row r="46" spans="2:67" ht="18" customHeight="1" x14ac:dyDescent="0.2">
      <c r="B46" s="245" t="str">
        <v/>
      </c>
      <c r="C46" s="241" cm="1">
        <f t="array" ref="C46:BH46">$B47*100+C$5:BH$5</f>
        <v>1601</v>
      </c>
      <c r="D46" s="241">
        <v>1602</v>
      </c>
      <c r="E46" s="241">
        <v>1603</v>
      </c>
      <c r="F46" s="241">
        <v>1604</v>
      </c>
      <c r="G46" s="241">
        <v>1605</v>
      </c>
      <c r="H46" s="241">
        <v>1606</v>
      </c>
      <c r="I46" s="241">
        <v>1607</v>
      </c>
      <c r="J46" s="241">
        <v>1608</v>
      </c>
      <c r="K46" s="241">
        <v>1609</v>
      </c>
      <c r="L46" s="241">
        <v>1610</v>
      </c>
      <c r="M46" s="241">
        <v>1611</v>
      </c>
      <c r="N46" s="241">
        <v>1612</v>
      </c>
      <c r="O46" s="241">
        <v>1613</v>
      </c>
      <c r="P46" s="241">
        <v>1614</v>
      </c>
      <c r="Q46" s="241">
        <v>1615</v>
      </c>
      <c r="R46" s="241">
        <v>1616</v>
      </c>
      <c r="S46" s="241">
        <v>1617</v>
      </c>
      <c r="T46" s="241">
        <v>1618</v>
      </c>
      <c r="U46" s="241">
        <v>1619</v>
      </c>
      <c r="V46" s="241">
        <v>1620</v>
      </c>
      <c r="W46" s="241">
        <v>1621</v>
      </c>
      <c r="X46" s="241">
        <v>1622</v>
      </c>
      <c r="Y46" s="241">
        <v>1623</v>
      </c>
      <c r="Z46" s="241">
        <v>1624</v>
      </c>
      <c r="AA46" s="241">
        <v>1625</v>
      </c>
      <c r="AB46" s="241">
        <v>1626</v>
      </c>
      <c r="AC46" s="241">
        <v>1627</v>
      </c>
      <c r="AD46" s="241">
        <v>1628</v>
      </c>
      <c r="AE46" s="241">
        <v>1629</v>
      </c>
      <c r="AF46" s="241">
        <v>1630</v>
      </c>
      <c r="AG46" s="241">
        <v>1631</v>
      </c>
      <c r="AH46" s="241">
        <v>1632</v>
      </c>
      <c r="AI46" s="241">
        <v>1633</v>
      </c>
      <c r="AJ46" s="241">
        <v>1634</v>
      </c>
      <c r="AK46" s="241">
        <v>1635</v>
      </c>
      <c r="AL46" s="241">
        <v>1636</v>
      </c>
      <c r="AM46" s="241">
        <v>1637</v>
      </c>
      <c r="AN46" s="241">
        <v>1638</v>
      </c>
      <c r="AO46" s="241">
        <v>1639</v>
      </c>
      <c r="AP46" s="241">
        <v>1640</v>
      </c>
      <c r="AQ46" s="241">
        <v>1641</v>
      </c>
      <c r="AR46" s="241">
        <v>1642</v>
      </c>
      <c r="AS46" s="241">
        <v>1643</v>
      </c>
      <c r="AT46" s="241">
        <v>1644</v>
      </c>
      <c r="AU46" s="241">
        <v>1645</v>
      </c>
      <c r="AV46" s="241">
        <v>1646</v>
      </c>
      <c r="AW46" s="241">
        <v>1647</v>
      </c>
      <c r="AX46" s="241">
        <v>1648</v>
      </c>
      <c r="AY46" s="241">
        <v>1649</v>
      </c>
      <c r="AZ46" s="241">
        <v>1650</v>
      </c>
      <c r="BA46" s="241">
        <v>1651</v>
      </c>
      <c r="BB46" s="241">
        <v>1652</v>
      </c>
      <c r="BC46" s="241">
        <v>1653</v>
      </c>
      <c r="BD46" s="241">
        <v>1654</v>
      </c>
      <c r="BE46" s="241">
        <v>1655</v>
      </c>
      <c r="BF46" s="241">
        <v>1656</v>
      </c>
      <c r="BG46" s="241">
        <v>1657</v>
      </c>
      <c r="BH46" s="241">
        <v>1658</v>
      </c>
      <c r="BJ46" s="302" t="str">
        <f>B47&amp;"th FLOOR"</f>
        <v>16th FLOOR</v>
      </c>
      <c r="BK46" s="303"/>
      <c r="BL46" s="303"/>
      <c r="BM46" s="303"/>
      <c r="BN46" s="303"/>
      <c r="BO46" s="304"/>
    </row>
    <row r="47" spans="2:67" ht="14.25" customHeight="1" x14ac:dyDescent="0.2">
      <c r="B47" s="246">
        <v>16</v>
      </c>
      <c r="C47" s="240" t="str" cm="1">
        <f t="array" ref="C47:BH47">_xlfn.XLOOKUP(C46:BH46,'[1]111W_BUILDING MATRIX'!$B$8:$B$600,'[1]111W_BUILDING MATRIX'!$E$8:$E$600,"--")</f>
        <v>--</v>
      </c>
      <c r="D47" s="240" t="str">
        <v>--</v>
      </c>
      <c r="E47" s="240" t="str">
        <v>--</v>
      </c>
      <c r="F47" s="240" t="str">
        <v>--</v>
      </c>
      <c r="G47" s="240" t="str">
        <v>--</v>
      </c>
      <c r="H47" s="240" t="str">
        <v>--</v>
      </c>
      <c r="I47" s="240" t="str">
        <v>--</v>
      </c>
      <c r="J47" s="240" t="str">
        <v>--</v>
      </c>
      <c r="K47" s="240" t="str">
        <v>--</v>
      </c>
      <c r="L47" s="240" t="str">
        <v>--</v>
      </c>
      <c r="M47" s="240" t="str">
        <v>--</v>
      </c>
      <c r="N47" s="240" t="str">
        <v>--</v>
      </c>
      <c r="O47" s="240" t="str">
        <v>--</v>
      </c>
      <c r="P47" s="240" t="str">
        <v>--</v>
      </c>
      <c r="Q47" s="240" t="str">
        <v>--</v>
      </c>
      <c r="R47" s="240" t="str">
        <v>--</v>
      </c>
      <c r="S47" s="240" t="str">
        <v>--</v>
      </c>
      <c r="T47" s="240" t="str">
        <v>--</v>
      </c>
      <c r="U47" s="240" t="str">
        <v>--</v>
      </c>
      <c r="V47" s="240" t="str">
        <v>--</v>
      </c>
      <c r="W47" s="240" t="str">
        <v>--</v>
      </c>
      <c r="X47" s="240" t="str">
        <v>--</v>
      </c>
      <c r="Y47" s="240" t="str">
        <v>--</v>
      </c>
      <c r="Z47" s="240" t="str">
        <v>--</v>
      </c>
      <c r="AA47" s="240" t="str">
        <v>--</v>
      </c>
      <c r="AB47" s="240" t="str">
        <v>--</v>
      </c>
      <c r="AC47" s="240" t="str">
        <v>--</v>
      </c>
      <c r="AD47" s="240" t="str">
        <v>--</v>
      </c>
      <c r="AE47" s="240" t="str">
        <v>--</v>
      </c>
      <c r="AF47" s="240" t="str">
        <v>--</v>
      </c>
      <c r="AG47" s="240" t="str">
        <v>--</v>
      </c>
      <c r="AH47" s="240" t="str">
        <v>--</v>
      </c>
      <c r="AI47" s="240" t="str">
        <v>--</v>
      </c>
      <c r="AJ47" s="240" t="str">
        <v>--</v>
      </c>
      <c r="AK47" s="240" t="str">
        <v>--</v>
      </c>
      <c r="AL47" s="240" t="str">
        <v>--</v>
      </c>
      <c r="AM47" s="240" t="str">
        <v>--</v>
      </c>
      <c r="AN47" s="240" t="str">
        <v>--</v>
      </c>
      <c r="AO47" s="240" t="str">
        <v>--</v>
      </c>
      <c r="AP47" s="240" t="str">
        <v>--</v>
      </c>
      <c r="AQ47" s="240" t="str">
        <v>--</v>
      </c>
      <c r="AR47" s="240" t="str">
        <v>--</v>
      </c>
      <c r="AS47" s="240" t="str">
        <v>--</v>
      </c>
      <c r="AT47" s="240" t="str">
        <v>--</v>
      </c>
      <c r="AU47" s="240" t="str">
        <v>--</v>
      </c>
      <c r="AV47" s="240" t="str">
        <v>--</v>
      </c>
      <c r="AW47" s="240" t="str">
        <v>--</v>
      </c>
      <c r="AX47" s="240" t="str">
        <v>--</v>
      </c>
      <c r="AY47" s="240" t="str">
        <v>--</v>
      </c>
      <c r="AZ47" s="240" t="str">
        <v>--</v>
      </c>
      <c r="BA47" s="240" t="str">
        <v>--</v>
      </c>
      <c r="BB47" s="240" t="str">
        <v>--</v>
      </c>
      <c r="BC47" s="240" t="str">
        <v>--</v>
      </c>
      <c r="BD47" s="240" t="str">
        <v>--</v>
      </c>
      <c r="BE47" s="240" t="str">
        <v>--</v>
      </c>
      <c r="BF47" s="240" t="str">
        <v>--</v>
      </c>
      <c r="BG47" s="240" t="str">
        <v>--</v>
      </c>
      <c r="BH47" s="240" t="str">
        <v>--</v>
      </c>
      <c r="BJ47" s="347">
        <f t="shared" ref="BJ47" si="29">COUNTIF(C48:BH48, "D")</f>
        <v>0</v>
      </c>
      <c r="BK47" s="349" t="s">
        <v>16</v>
      </c>
      <c r="BL47" s="349"/>
      <c r="BM47" s="349"/>
      <c r="BN47" s="349">
        <f t="shared" ref="BN47" si="30" xml:space="preserve"> COUNTIF(C48:BH48,"&lt;&gt;--")</f>
        <v>0</v>
      </c>
      <c r="BO47" s="351" t="e">
        <f t="shared" ref="BO47" si="31">BJ47/BN47</f>
        <v>#DIV/0!</v>
      </c>
    </row>
    <row r="48" spans="2:67" ht="15" customHeight="1" thickBot="1" x14ac:dyDescent="0.25">
      <c r="B48" s="247" t="str">
        <v/>
      </c>
      <c r="C48" s="239" t="str" cm="1">
        <f t="array" ref="C48:BH48">_xlfn.XLOOKUP(C46:BH46,'[1]111W_BUILDING MATRIX'!$B$8:$B$600,'[1]111W_BUILDING MATRIX'!$H$8:$H$600,"--")</f>
        <v>--</v>
      </c>
      <c r="D48" s="239" t="str">
        <v>--</v>
      </c>
      <c r="E48" s="239" t="str">
        <v>--</v>
      </c>
      <c r="F48" s="239" t="str">
        <v>--</v>
      </c>
      <c r="G48" s="239" t="str">
        <v>--</v>
      </c>
      <c r="H48" s="239" t="str">
        <v>--</v>
      </c>
      <c r="I48" s="239" t="str">
        <v>--</v>
      </c>
      <c r="J48" s="239" t="str">
        <v>--</v>
      </c>
      <c r="K48" s="239" t="str">
        <v>--</v>
      </c>
      <c r="L48" s="239" t="str">
        <v>--</v>
      </c>
      <c r="M48" s="239" t="str">
        <v>--</v>
      </c>
      <c r="N48" s="239" t="str">
        <v>--</v>
      </c>
      <c r="O48" s="239" t="str">
        <v>--</v>
      </c>
      <c r="P48" s="239" t="str">
        <v>--</v>
      </c>
      <c r="Q48" s="239" t="str">
        <v>--</v>
      </c>
      <c r="R48" s="239" t="str">
        <v>--</v>
      </c>
      <c r="S48" s="239" t="str">
        <v>--</v>
      </c>
      <c r="T48" s="239" t="str">
        <v>--</v>
      </c>
      <c r="U48" s="239" t="str">
        <v>--</v>
      </c>
      <c r="V48" s="239" t="str">
        <v>--</v>
      </c>
      <c r="W48" s="239" t="str">
        <v>--</v>
      </c>
      <c r="X48" s="239" t="str">
        <v>--</v>
      </c>
      <c r="Y48" s="239" t="str">
        <v>--</v>
      </c>
      <c r="Z48" s="239" t="str">
        <v>--</v>
      </c>
      <c r="AA48" s="239" t="str">
        <v>--</v>
      </c>
      <c r="AB48" s="239" t="str">
        <v>--</v>
      </c>
      <c r="AC48" s="239" t="str">
        <v>--</v>
      </c>
      <c r="AD48" s="239" t="str">
        <v>--</v>
      </c>
      <c r="AE48" s="239" t="str">
        <v>--</v>
      </c>
      <c r="AF48" s="239" t="str">
        <v>--</v>
      </c>
      <c r="AG48" s="239" t="str">
        <v>--</v>
      </c>
      <c r="AH48" s="239" t="str">
        <v>--</v>
      </c>
      <c r="AI48" s="239" t="str">
        <v>--</v>
      </c>
      <c r="AJ48" s="239" t="str">
        <v>--</v>
      </c>
      <c r="AK48" s="239" t="str">
        <v>--</v>
      </c>
      <c r="AL48" s="239" t="str">
        <v>--</v>
      </c>
      <c r="AM48" s="239" t="str">
        <v>--</v>
      </c>
      <c r="AN48" s="239" t="str">
        <v>--</v>
      </c>
      <c r="AO48" s="239" t="str">
        <v>--</v>
      </c>
      <c r="AP48" s="239" t="str">
        <v>--</v>
      </c>
      <c r="AQ48" s="239" t="str">
        <v>--</v>
      </c>
      <c r="AR48" s="239" t="str">
        <v>--</v>
      </c>
      <c r="AS48" s="239" t="str">
        <v>--</v>
      </c>
      <c r="AT48" s="239" t="str">
        <v>--</v>
      </c>
      <c r="AU48" s="239" t="str">
        <v>--</v>
      </c>
      <c r="AV48" s="239" t="str">
        <v>--</v>
      </c>
      <c r="AW48" s="239" t="str">
        <v>--</v>
      </c>
      <c r="AX48" s="239" t="str">
        <v>--</v>
      </c>
      <c r="AY48" s="239" t="str">
        <v>--</v>
      </c>
      <c r="AZ48" s="239" t="str">
        <v>--</v>
      </c>
      <c r="BA48" s="239" t="str">
        <v>--</v>
      </c>
      <c r="BB48" s="239" t="str">
        <v>--</v>
      </c>
      <c r="BC48" s="239" t="str">
        <v>--</v>
      </c>
      <c r="BD48" s="239" t="str">
        <v>--</v>
      </c>
      <c r="BE48" s="239" t="str">
        <v>--</v>
      </c>
      <c r="BF48" s="239" t="str">
        <v>--</v>
      </c>
      <c r="BG48" s="239" t="str">
        <v>--</v>
      </c>
      <c r="BH48" s="239" t="str">
        <v>--</v>
      </c>
      <c r="BJ48" s="348"/>
      <c r="BK48" s="350"/>
      <c r="BL48" s="350"/>
      <c r="BM48" s="350"/>
      <c r="BN48" s="350"/>
      <c r="BO48" s="352"/>
    </row>
    <row r="49" spans="2:67" ht="18" customHeight="1" x14ac:dyDescent="0.2">
      <c r="B49" s="245" t="str">
        <v/>
      </c>
      <c r="C49" s="241" cm="1">
        <f t="array" ref="C49:BH49">$B50*100+C$5:BH$5</f>
        <v>1501</v>
      </c>
      <c r="D49" s="241">
        <v>1502</v>
      </c>
      <c r="E49" s="241">
        <v>1503</v>
      </c>
      <c r="F49" s="241">
        <v>1504</v>
      </c>
      <c r="G49" s="241">
        <v>1505</v>
      </c>
      <c r="H49" s="241">
        <v>1506</v>
      </c>
      <c r="I49" s="241">
        <v>1507</v>
      </c>
      <c r="J49" s="241">
        <v>1508</v>
      </c>
      <c r="K49" s="241">
        <v>1509</v>
      </c>
      <c r="L49" s="241">
        <v>1510</v>
      </c>
      <c r="M49" s="241">
        <v>1511</v>
      </c>
      <c r="N49" s="241">
        <v>1512</v>
      </c>
      <c r="O49" s="241">
        <v>1513</v>
      </c>
      <c r="P49" s="241">
        <v>1514</v>
      </c>
      <c r="Q49" s="241">
        <v>1515</v>
      </c>
      <c r="R49" s="241">
        <v>1516</v>
      </c>
      <c r="S49" s="241">
        <v>1517</v>
      </c>
      <c r="T49" s="241">
        <v>1518</v>
      </c>
      <c r="U49" s="241">
        <v>1519</v>
      </c>
      <c r="V49" s="241">
        <v>1520</v>
      </c>
      <c r="W49" s="241">
        <v>1521</v>
      </c>
      <c r="X49" s="241">
        <v>1522</v>
      </c>
      <c r="Y49" s="241">
        <v>1523</v>
      </c>
      <c r="Z49" s="241">
        <v>1524</v>
      </c>
      <c r="AA49" s="241">
        <v>1525</v>
      </c>
      <c r="AB49" s="241">
        <v>1526</v>
      </c>
      <c r="AC49" s="241">
        <v>1527</v>
      </c>
      <c r="AD49" s="241">
        <v>1528</v>
      </c>
      <c r="AE49" s="241">
        <v>1529</v>
      </c>
      <c r="AF49" s="241">
        <v>1530</v>
      </c>
      <c r="AG49" s="241">
        <v>1531</v>
      </c>
      <c r="AH49" s="241">
        <v>1532</v>
      </c>
      <c r="AI49" s="241">
        <v>1533</v>
      </c>
      <c r="AJ49" s="241">
        <v>1534</v>
      </c>
      <c r="AK49" s="241">
        <v>1535</v>
      </c>
      <c r="AL49" s="241">
        <v>1536</v>
      </c>
      <c r="AM49" s="241">
        <v>1537</v>
      </c>
      <c r="AN49" s="241">
        <v>1538</v>
      </c>
      <c r="AO49" s="241">
        <v>1539</v>
      </c>
      <c r="AP49" s="241">
        <v>1540</v>
      </c>
      <c r="AQ49" s="241">
        <v>1541</v>
      </c>
      <c r="AR49" s="241">
        <v>1542</v>
      </c>
      <c r="AS49" s="241">
        <v>1543</v>
      </c>
      <c r="AT49" s="241">
        <v>1544</v>
      </c>
      <c r="AU49" s="241">
        <v>1545</v>
      </c>
      <c r="AV49" s="241">
        <v>1546</v>
      </c>
      <c r="AW49" s="241">
        <v>1547</v>
      </c>
      <c r="AX49" s="241">
        <v>1548</v>
      </c>
      <c r="AY49" s="241">
        <v>1549</v>
      </c>
      <c r="AZ49" s="241">
        <v>1550</v>
      </c>
      <c r="BA49" s="241">
        <v>1551</v>
      </c>
      <c r="BB49" s="241">
        <v>1552</v>
      </c>
      <c r="BC49" s="241">
        <v>1553</v>
      </c>
      <c r="BD49" s="241">
        <v>1554</v>
      </c>
      <c r="BE49" s="241">
        <v>1555</v>
      </c>
      <c r="BF49" s="241">
        <v>1556</v>
      </c>
      <c r="BG49" s="241">
        <v>1557</v>
      </c>
      <c r="BH49" s="241">
        <v>1558</v>
      </c>
      <c r="BJ49" s="302" t="str">
        <f>B50&amp;"th FLOOR"</f>
        <v>15th FLOOR</v>
      </c>
      <c r="BK49" s="303"/>
      <c r="BL49" s="303"/>
      <c r="BM49" s="303"/>
      <c r="BN49" s="303"/>
      <c r="BO49" s="304"/>
    </row>
    <row r="50" spans="2:67" ht="14.25" customHeight="1" x14ac:dyDescent="0.2">
      <c r="B50" s="246">
        <v>15</v>
      </c>
      <c r="C50" s="240" t="str" cm="1">
        <f t="array" ref="C50:BH50">_xlfn.XLOOKUP(C49:BH49,'[1]111W_BUILDING MATRIX'!$B$8:$B$600,'[1]111W_BUILDING MATRIX'!$E$8:$E$600,"--")</f>
        <v>--</v>
      </c>
      <c r="D50" s="240" t="str">
        <v>--</v>
      </c>
      <c r="E50" s="240" t="str">
        <v>--</v>
      </c>
      <c r="F50" s="240" t="str">
        <v>--</v>
      </c>
      <c r="G50" s="240" t="str">
        <v>--</v>
      </c>
      <c r="H50" s="240" t="str">
        <v>--</v>
      </c>
      <c r="I50" s="240" t="str">
        <v>--</v>
      </c>
      <c r="J50" s="240" t="str">
        <v>--</v>
      </c>
      <c r="K50" s="240" t="str">
        <v>--</v>
      </c>
      <c r="L50" s="240" t="str">
        <v>--</v>
      </c>
      <c r="M50" s="240" t="str">
        <v>--</v>
      </c>
      <c r="N50" s="240" t="str">
        <v>--</v>
      </c>
      <c r="O50" s="240" t="str">
        <v>--</v>
      </c>
      <c r="P50" s="240" t="str">
        <v>--</v>
      </c>
      <c r="Q50" s="240" t="str">
        <v>--</v>
      </c>
      <c r="R50" s="240" t="str">
        <v>--</v>
      </c>
      <c r="S50" s="240" t="str">
        <v>--</v>
      </c>
      <c r="T50" s="240" t="str">
        <v>--</v>
      </c>
      <c r="U50" s="240" t="str">
        <v>--</v>
      </c>
      <c r="V50" s="240" t="str">
        <v>--</v>
      </c>
      <c r="W50" s="240" t="str">
        <v>--</v>
      </c>
      <c r="X50" s="240" t="str">
        <v>--</v>
      </c>
      <c r="Y50" s="240" t="str">
        <v>--</v>
      </c>
      <c r="Z50" s="240" t="str">
        <v>--</v>
      </c>
      <c r="AA50" s="240" t="str">
        <v>--</v>
      </c>
      <c r="AB50" s="240" t="str">
        <v>--</v>
      </c>
      <c r="AC50" s="240" t="str">
        <v>--</v>
      </c>
      <c r="AD50" s="240" t="str">
        <v>--</v>
      </c>
      <c r="AE50" s="240" t="str">
        <v>--</v>
      </c>
      <c r="AF50" s="240" t="str">
        <v>--</v>
      </c>
      <c r="AG50" s="240" t="str">
        <v>--</v>
      </c>
      <c r="AH50" s="240" t="str">
        <v>--</v>
      </c>
      <c r="AI50" s="240" t="str">
        <v>--</v>
      </c>
      <c r="AJ50" s="240" t="str">
        <v>--</v>
      </c>
      <c r="AK50" s="240" t="str">
        <v>--</v>
      </c>
      <c r="AL50" s="240" t="str">
        <v>--</v>
      </c>
      <c r="AM50" s="240" t="str">
        <v>--</v>
      </c>
      <c r="AN50" s="240" t="str">
        <v>--</v>
      </c>
      <c r="AO50" s="240" t="str">
        <v>--</v>
      </c>
      <c r="AP50" s="240" t="str">
        <v>--</v>
      </c>
      <c r="AQ50" s="240" t="str">
        <v>--</v>
      </c>
      <c r="AR50" s="240" t="str">
        <v>--</v>
      </c>
      <c r="AS50" s="240" t="str">
        <v>--</v>
      </c>
      <c r="AT50" s="240" t="str">
        <v>--</v>
      </c>
      <c r="AU50" s="240" t="str">
        <v>--</v>
      </c>
      <c r="AV50" s="240" t="str">
        <v>--</v>
      </c>
      <c r="AW50" s="240" t="str">
        <v>--</v>
      </c>
      <c r="AX50" s="240" t="str">
        <v>--</v>
      </c>
      <c r="AY50" s="240" t="str">
        <v>--</v>
      </c>
      <c r="AZ50" s="240" t="str">
        <v>--</v>
      </c>
      <c r="BA50" s="240" t="str">
        <v>--</v>
      </c>
      <c r="BB50" s="240" t="str">
        <v>--</v>
      </c>
      <c r="BC50" s="240" t="str">
        <v>--</v>
      </c>
      <c r="BD50" s="240" t="str">
        <v>--</v>
      </c>
      <c r="BE50" s="240" t="str">
        <v>--</v>
      </c>
      <c r="BF50" s="240" t="str">
        <v>--</v>
      </c>
      <c r="BG50" s="240" t="str">
        <v>--</v>
      </c>
      <c r="BH50" s="240" t="str">
        <v>--</v>
      </c>
      <c r="BJ50" s="347">
        <f t="shared" ref="BJ50" si="32">COUNTIF(C51:BH51, "D")</f>
        <v>0</v>
      </c>
      <c r="BK50" s="349" t="s">
        <v>16</v>
      </c>
      <c r="BL50" s="349"/>
      <c r="BM50" s="349"/>
      <c r="BN50" s="349">
        <f t="shared" ref="BN50" si="33" xml:space="preserve"> COUNTIF(C51:BH51,"&lt;&gt;--")</f>
        <v>0</v>
      </c>
      <c r="BO50" s="351" t="e">
        <f t="shared" ref="BO50" si="34">BJ50/BN50</f>
        <v>#DIV/0!</v>
      </c>
    </row>
    <row r="51" spans="2:67" ht="15" customHeight="1" thickBot="1" x14ac:dyDescent="0.25">
      <c r="B51" s="247" t="str">
        <v/>
      </c>
      <c r="C51" s="239" t="str" cm="1">
        <f t="array" ref="C51:BH51">_xlfn.XLOOKUP(C49:BH49,'[1]111W_BUILDING MATRIX'!$B$8:$B$600,'[1]111W_BUILDING MATRIX'!$H$8:$H$600,"--")</f>
        <v>--</v>
      </c>
      <c r="D51" s="239" t="str">
        <v>--</v>
      </c>
      <c r="E51" s="239" t="str">
        <v>--</v>
      </c>
      <c r="F51" s="239" t="str">
        <v>--</v>
      </c>
      <c r="G51" s="239" t="str">
        <v>--</v>
      </c>
      <c r="H51" s="239" t="str">
        <v>--</v>
      </c>
      <c r="I51" s="239" t="str">
        <v>--</v>
      </c>
      <c r="J51" s="239" t="str">
        <v>--</v>
      </c>
      <c r="K51" s="239" t="str">
        <v>--</v>
      </c>
      <c r="L51" s="239" t="str">
        <v>--</v>
      </c>
      <c r="M51" s="239" t="str">
        <v>--</v>
      </c>
      <c r="N51" s="239" t="str">
        <v>--</v>
      </c>
      <c r="O51" s="239" t="str">
        <v>--</v>
      </c>
      <c r="P51" s="239" t="str">
        <v>--</v>
      </c>
      <c r="Q51" s="239" t="str">
        <v>--</v>
      </c>
      <c r="R51" s="239" t="str">
        <v>--</v>
      </c>
      <c r="S51" s="239" t="str">
        <v>--</v>
      </c>
      <c r="T51" s="239" t="str">
        <v>--</v>
      </c>
      <c r="U51" s="239" t="str">
        <v>--</v>
      </c>
      <c r="V51" s="239" t="str">
        <v>--</v>
      </c>
      <c r="W51" s="239" t="str">
        <v>--</v>
      </c>
      <c r="X51" s="239" t="str">
        <v>--</v>
      </c>
      <c r="Y51" s="239" t="str">
        <v>--</v>
      </c>
      <c r="Z51" s="239" t="str">
        <v>--</v>
      </c>
      <c r="AA51" s="239" t="str">
        <v>--</v>
      </c>
      <c r="AB51" s="239" t="str">
        <v>--</v>
      </c>
      <c r="AC51" s="239" t="str">
        <v>--</v>
      </c>
      <c r="AD51" s="239" t="str">
        <v>--</v>
      </c>
      <c r="AE51" s="239" t="str">
        <v>--</v>
      </c>
      <c r="AF51" s="239" t="str">
        <v>--</v>
      </c>
      <c r="AG51" s="239" t="str">
        <v>--</v>
      </c>
      <c r="AH51" s="239" t="str">
        <v>--</v>
      </c>
      <c r="AI51" s="239" t="str">
        <v>--</v>
      </c>
      <c r="AJ51" s="239" t="str">
        <v>--</v>
      </c>
      <c r="AK51" s="239" t="str">
        <v>--</v>
      </c>
      <c r="AL51" s="239" t="str">
        <v>--</v>
      </c>
      <c r="AM51" s="239" t="str">
        <v>--</v>
      </c>
      <c r="AN51" s="239" t="str">
        <v>--</v>
      </c>
      <c r="AO51" s="239" t="str">
        <v>--</v>
      </c>
      <c r="AP51" s="239" t="str">
        <v>--</v>
      </c>
      <c r="AQ51" s="239" t="str">
        <v>--</v>
      </c>
      <c r="AR51" s="239" t="str">
        <v>--</v>
      </c>
      <c r="AS51" s="239" t="str">
        <v>--</v>
      </c>
      <c r="AT51" s="239" t="str">
        <v>--</v>
      </c>
      <c r="AU51" s="239" t="str">
        <v>--</v>
      </c>
      <c r="AV51" s="239" t="str">
        <v>--</v>
      </c>
      <c r="AW51" s="239" t="str">
        <v>--</v>
      </c>
      <c r="AX51" s="239" t="str">
        <v>--</v>
      </c>
      <c r="AY51" s="239" t="str">
        <v>--</v>
      </c>
      <c r="AZ51" s="239" t="str">
        <v>--</v>
      </c>
      <c r="BA51" s="239" t="str">
        <v>--</v>
      </c>
      <c r="BB51" s="239" t="str">
        <v>--</v>
      </c>
      <c r="BC51" s="239" t="str">
        <v>--</v>
      </c>
      <c r="BD51" s="239" t="str">
        <v>--</v>
      </c>
      <c r="BE51" s="239" t="str">
        <v>--</v>
      </c>
      <c r="BF51" s="239" t="str">
        <v>--</v>
      </c>
      <c r="BG51" s="239" t="str">
        <v>--</v>
      </c>
      <c r="BH51" s="239" t="str">
        <v>--</v>
      </c>
      <c r="BJ51" s="348"/>
      <c r="BK51" s="350"/>
      <c r="BL51" s="350"/>
      <c r="BM51" s="350"/>
      <c r="BN51" s="350"/>
      <c r="BO51" s="352"/>
    </row>
    <row r="52" spans="2:67" ht="18" customHeight="1" x14ac:dyDescent="0.2">
      <c r="B52" s="245" t="str">
        <v/>
      </c>
      <c r="C52" s="241" cm="1">
        <f t="array" ref="C52:BH52">$B53*100+C$5:BH$5</f>
        <v>1401</v>
      </c>
      <c r="D52" s="241">
        <v>1402</v>
      </c>
      <c r="E52" s="241">
        <v>1403</v>
      </c>
      <c r="F52" s="241">
        <v>1404</v>
      </c>
      <c r="G52" s="241">
        <v>1405</v>
      </c>
      <c r="H52" s="241">
        <v>1406</v>
      </c>
      <c r="I52" s="241">
        <v>1407</v>
      </c>
      <c r="J52" s="241">
        <v>1408</v>
      </c>
      <c r="K52" s="241">
        <v>1409</v>
      </c>
      <c r="L52" s="241">
        <v>1410</v>
      </c>
      <c r="M52" s="241">
        <v>1411</v>
      </c>
      <c r="N52" s="241">
        <v>1412</v>
      </c>
      <c r="O52" s="241">
        <v>1413</v>
      </c>
      <c r="P52" s="241">
        <v>1414</v>
      </c>
      <c r="Q52" s="241">
        <v>1415</v>
      </c>
      <c r="R52" s="241">
        <v>1416</v>
      </c>
      <c r="S52" s="241">
        <v>1417</v>
      </c>
      <c r="T52" s="241">
        <v>1418</v>
      </c>
      <c r="U52" s="241">
        <v>1419</v>
      </c>
      <c r="V52" s="241">
        <v>1420</v>
      </c>
      <c r="W52" s="241">
        <v>1421</v>
      </c>
      <c r="X52" s="241">
        <v>1422</v>
      </c>
      <c r="Y52" s="241">
        <v>1423</v>
      </c>
      <c r="Z52" s="241">
        <v>1424</v>
      </c>
      <c r="AA52" s="241">
        <v>1425</v>
      </c>
      <c r="AB52" s="241">
        <v>1426</v>
      </c>
      <c r="AC52" s="241">
        <v>1427</v>
      </c>
      <c r="AD52" s="241">
        <v>1428</v>
      </c>
      <c r="AE52" s="241">
        <v>1429</v>
      </c>
      <c r="AF52" s="241">
        <v>1430</v>
      </c>
      <c r="AG52" s="241">
        <v>1431</v>
      </c>
      <c r="AH52" s="241">
        <v>1432</v>
      </c>
      <c r="AI52" s="241">
        <v>1433</v>
      </c>
      <c r="AJ52" s="241">
        <v>1434</v>
      </c>
      <c r="AK52" s="241">
        <v>1435</v>
      </c>
      <c r="AL52" s="241">
        <v>1436</v>
      </c>
      <c r="AM52" s="241">
        <v>1437</v>
      </c>
      <c r="AN52" s="241">
        <v>1438</v>
      </c>
      <c r="AO52" s="241">
        <v>1439</v>
      </c>
      <c r="AP52" s="241">
        <v>1440</v>
      </c>
      <c r="AQ52" s="241">
        <v>1441</v>
      </c>
      <c r="AR52" s="241">
        <v>1442</v>
      </c>
      <c r="AS52" s="241">
        <v>1443</v>
      </c>
      <c r="AT52" s="241">
        <v>1444</v>
      </c>
      <c r="AU52" s="241">
        <v>1445</v>
      </c>
      <c r="AV52" s="241">
        <v>1446</v>
      </c>
      <c r="AW52" s="241">
        <v>1447</v>
      </c>
      <c r="AX52" s="241">
        <v>1448</v>
      </c>
      <c r="AY52" s="241">
        <v>1449</v>
      </c>
      <c r="AZ52" s="241">
        <v>1450</v>
      </c>
      <c r="BA52" s="241">
        <v>1451</v>
      </c>
      <c r="BB52" s="241">
        <v>1452</v>
      </c>
      <c r="BC52" s="241">
        <v>1453</v>
      </c>
      <c r="BD52" s="241">
        <v>1454</v>
      </c>
      <c r="BE52" s="241">
        <v>1455</v>
      </c>
      <c r="BF52" s="241">
        <v>1456</v>
      </c>
      <c r="BG52" s="241">
        <v>1457</v>
      </c>
      <c r="BH52" s="241">
        <v>1458</v>
      </c>
      <c r="BJ52" s="302" t="str">
        <f>B53&amp;"th FLOOR"</f>
        <v>14th FLOOR</v>
      </c>
      <c r="BK52" s="303"/>
      <c r="BL52" s="303"/>
      <c r="BM52" s="303"/>
      <c r="BN52" s="303"/>
      <c r="BO52" s="304"/>
    </row>
    <row r="53" spans="2:67" ht="14.25" customHeight="1" x14ac:dyDescent="0.2">
      <c r="B53" s="246">
        <v>14</v>
      </c>
      <c r="C53" s="240" t="str" cm="1">
        <f t="array" ref="C53:BH53">_xlfn.XLOOKUP(C52:BH52,'[1]111W_BUILDING MATRIX'!$B$8:$B$600,'[1]111W_BUILDING MATRIX'!$E$8:$E$600,"--")</f>
        <v>--</v>
      </c>
      <c r="D53" s="240" t="str">
        <v>--</v>
      </c>
      <c r="E53" s="240" t="str">
        <v>--</v>
      </c>
      <c r="F53" s="240" t="str">
        <v>--</v>
      </c>
      <c r="G53" s="240" t="str">
        <v>--</v>
      </c>
      <c r="H53" s="240" t="str">
        <v>--</v>
      </c>
      <c r="I53" s="240" t="str">
        <v>--</v>
      </c>
      <c r="J53" s="240" t="str">
        <v>--</v>
      </c>
      <c r="K53" s="240" t="str">
        <v>--</v>
      </c>
      <c r="L53" s="240" t="str">
        <v>--</v>
      </c>
      <c r="M53" s="240" t="str">
        <v>--</v>
      </c>
      <c r="N53" s="240" t="str">
        <v>--</v>
      </c>
      <c r="O53" s="240" t="str">
        <v>--</v>
      </c>
      <c r="P53" s="240" t="str">
        <v>--</v>
      </c>
      <c r="Q53" s="240" t="str">
        <v>--</v>
      </c>
      <c r="R53" s="240" t="str">
        <v>--</v>
      </c>
      <c r="S53" s="240" t="str">
        <v>--</v>
      </c>
      <c r="T53" s="240" t="str">
        <v>--</v>
      </c>
      <c r="U53" s="240" t="str">
        <v>--</v>
      </c>
      <c r="V53" s="240" t="str">
        <v>--</v>
      </c>
      <c r="W53" s="240" t="str">
        <v>--</v>
      </c>
      <c r="X53" s="240" t="str">
        <v>--</v>
      </c>
      <c r="Y53" s="240" t="str">
        <v>--</v>
      </c>
      <c r="Z53" s="240" t="str">
        <v>--</v>
      </c>
      <c r="AA53" s="240" t="str">
        <v>--</v>
      </c>
      <c r="AB53" s="240" t="str">
        <v>--</v>
      </c>
      <c r="AC53" s="240" t="str">
        <v>--</v>
      </c>
      <c r="AD53" s="240" t="str">
        <v>--</v>
      </c>
      <c r="AE53" s="240" t="str">
        <v>--</v>
      </c>
      <c r="AF53" s="240" t="str">
        <v>--</v>
      </c>
      <c r="AG53" s="240" t="str">
        <v>--</v>
      </c>
      <c r="AH53" s="240" t="str">
        <v>--</v>
      </c>
      <c r="AI53" s="240" t="str">
        <v>--</v>
      </c>
      <c r="AJ53" s="240" t="str">
        <v>--</v>
      </c>
      <c r="AK53" s="240" t="str">
        <v>--</v>
      </c>
      <c r="AL53" s="240" t="str">
        <v>--</v>
      </c>
      <c r="AM53" s="240" t="str">
        <v>--</v>
      </c>
      <c r="AN53" s="240" t="str">
        <v>--</v>
      </c>
      <c r="AO53" s="240" t="str">
        <v>--</v>
      </c>
      <c r="AP53" s="240" t="str">
        <v>--</v>
      </c>
      <c r="AQ53" s="240" t="str">
        <v>--</v>
      </c>
      <c r="AR53" s="240" t="str">
        <v>--</v>
      </c>
      <c r="AS53" s="240" t="str">
        <v>--</v>
      </c>
      <c r="AT53" s="240" t="str">
        <v>--</v>
      </c>
      <c r="AU53" s="240" t="str">
        <v>--</v>
      </c>
      <c r="AV53" s="240" t="str">
        <v>--</v>
      </c>
      <c r="AW53" s="240" t="str">
        <v>--</v>
      </c>
      <c r="AX53" s="240" t="str">
        <v>--</v>
      </c>
      <c r="AY53" s="240" t="str">
        <v>--</v>
      </c>
      <c r="AZ53" s="240" t="str">
        <v>--</v>
      </c>
      <c r="BA53" s="240" t="str">
        <v>--</v>
      </c>
      <c r="BB53" s="240" t="str">
        <v>--</v>
      </c>
      <c r="BC53" s="240" t="str">
        <v>--</v>
      </c>
      <c r="BD53" s="240" t="str">
        <v>--</v>
      </c>
      <c r="BE53" s="240" t="str">
        <v>--</v>
      </c>
      <c r="BF53" s="240" t="str">
        <v>--</v>
      </c>
      <c r="BG53" s="240" t="str">
        <v>--</v>
      </c>
      <c r="BH53" s="240" t="str">
        <v>--</v>
      </c>
      <c r="BJ53" s="347">
        <f t="shared" ref="BJ53" si="35">COUNTIF(C54:BH54, "D")</f>
        <v>0</v>
      </c>
      <c r="BK53" s="349" t="s">
        <v>16</v>
      </c>
      <c r="BL53" s="349"/>
      <c r="BM53" s="349"/>
      <c r="BN53" s="349">
        <f t="shared" ref="BN53" si="36" xml:space="preserve"> COUNTIF(C54:BH54,"&lt;&gt;--")</f>
        <v>0</v>
      </c>
      <c r="BO53" s="351" t="e">
        <f t="shared" ref="BO53" si="37">BJ53/BN53</f>
        <v>#DIV/0!</v>
      </c>
    </row>
    <row r="54" spans="2:67" ht="15" customHeight="1" thickBot="1" x14ac:dyDescent="0.25">
      <c r="B54" s="247" t="str">
        <v/>
      </c>
      <c r="C54" s="239" t="str" cm="1">
        <f t="array" ref="C54:BH54">_xlfn.XLOOKUP(C52:BH52,'[1]111W_BUILDING MATRIX'!$B$8:$B$600,'[1]111W_BUILDING MATRIX'!$H$8:$H$600,"--")</f>
        <v>--</v>
      </c>
      <c r="D54" s="239" t="str">
        <v>--</v>
      </c>
      <c r="E54" s="239" t="str">
        <v>--</v>
      </c>
      <c r="F54" s="239" t="str">
        <v>--</v>
      </c>
      <c r="G54" s="239" t="str">
        <v>--</v>
      </c>
      <c r="H54" s="239" t="str">
        <v>--</v>
      </c>
      <c r="I54" s="239" t="str">
        <v>--</v>
      </c>
      <c r="J54" s="239" t="str">
        <v>--</v>
      </c>
      <c r="K54" s="239" t="str">
        <v>--</v>
      </c>
      <c r="L54" s="239" t="str">
        <v>--</v>
      </c>
      <c r="M54" s="239" t="str">
        <v>--</v>
      </c>
      <c r="N54" s="239" t="str">
        <v>--</v>
      </c>
      <c r="O54" s="239" t="str">
        <v>--</v>
      </c>
      <c r="P54" s="239" t="str">
        <v>--</v>
      </c>
      <c r="Q54" s="239" t="str">
        <v>--</v>
      </c>
      <c r="R54" s="239" t="str">
        <v>--</v>
      </c>
      <c r="S54" s="239" t="str">
        <v>--</v>
      </c>
      <c r="T54" s="239" t="str">
        <v>--</v>
      </c>
      <c r="U54" s="239" t="str">
        <v>--</v>
      </c>
      <c r="V54" s="239" t="str">
        <v>--</v>
      </c>
      <c r="W54" s="239" t="str">
        <v>--</v>
      </c>
      <c r="X54" s="239" t="str">
        <v>--</v>
      </c>
      <c r="Y54" s="239" t="str">
        <v>--</v>
      </c>
      <c r="Z54" s="239" t="str">
        <v>--</v>
      </c>
      <c r="AA54" s="239" t="str">
        <v>--</v>
      </c>
      <c r="AB54" s="239" t="str">
        <v>--</v>
      </c>
      <c r="AC54" s="239" t="str">
        <v>--</v>
      </c>
      <c r="AD54" s="239" t="str">
        <v>--</v>
      </c>
      <c r="AE54" s="239" t="str">
        <v>--</v>
      </c>
      <c r="AF54" s="239" t="str">
        <v>--</v>
      </c>
      <c r="AG54" s="239" t="str">
        <v>--</v>
      </c>
      <c r="AH54" s="239" t="str">
        <v>--</v>
      </c>
      <c r="AI54" s="239" t="str">
        <v>--</v>
      </c>
      <c r="AJ54" s="239" t="str">
        <v>--</v>
      </c>
      <c r="AK54" s="239" t="str">
        <v>--</v>
      </c>
      <c r="AL54" s="239" t="str">
        <v>--</v>
      </c>
      <c r="AM54" s="239" t="str">
        <v>--</v>
      </c>
      <c r="AN54" s="239" t="str">
        <v>--</v>
      </c>
      <c r="AO54" s="239" t="str">
        <v>--</v>
      </c>
      <c r="AP54" s="239" t="str">
        <v>--</v>
      </c>
      <c r="AQ54" s="239" t="str">
        <v>--</v>
      </c>
      <c r="AR54" s="239" t="str">
        <v>--</v>
      </c>
      <c r="AS54" s="239" t="str">
        <v>--</v>
      </c>
      <c r="AT54" s="239" t="str">
        <v>--</v>
      </c>
      <c r="AU54" s="239" t="str">
        <v>--</v>
      </c>
      <c r="AV54" s="239" t="str">
        <v>--</v>
      </c>
      <c r="AW54" s="239" t="str">
        <v>--</v>
      </c>
      <c r="AX54" s="239" t="str">
        <v>--</v>
      </c>
      <c r="AY54" s="239" t="str">
        <v>--</v>
      </c>
      <c r="AZ54" s="239" t="str">
        <v>--</v>
      </c>
      <c r="BA54" s="239" t="str">
        <v>--</v>
      </c>
      <c r="BB54" s="239" t="str">
        <v>--</v>
      </c>
      <c r="BC54" s="239" t="str">
        <v>--</v>
      </c>
      <c r="BD54" s="239" t="str">
        <v>--</v>
      </c>
      <c r="BE54" s="239" t="str">
        <v>--</v>
      </c>
      <c r="BF54" s="239" t="str">
        <v>--</v>
      </c>
      <c r="BG54" s="239" t="str">
        <v>--</v>
      </c>
      <c r="BH54" s="239" t="str">
        <v>--</v>
      </c>
      <c r="BJ54" s="348"/>
      <c r="BK54" s="350"/>
      <c r="BL54" s="350"/>
      <c r="BM54" s="350"/>
      <c r="BN54" s="350"/>
      <c r="BO54" s="352"/>
    </row>
    <row r="55" spans="2:67" ht="18" customHeight="1" x14ac:dyDescent="0.2">
      <c r="B55" s="245" t="str">
        <v/>
      </c>
      <c r="C55" s="241" cm="1">
        <f t="array" ref="C55:BH55">$B56*100+C$5:BH$5</f>
        <v>1301</v>
      </c>
      <c r="D55" s="241">
        <v>1302</v>
      </c>
      <c r="E55" s="241">
        <v>1303</v>
      </c>
      <c r="F55" s="241">
        <v>1304</v>
      </c>
      <c r="G55" s="241">
        <v>1305</v>
      </c>
      <c r="H55" s="241">
        <v>1306</v>
      </c>
      <c r="I55" s="241">
        <v>1307</v>
      </c>
      <c r="J55" s="241">
        <v>1308</v>
      </c>
      <c r="K55" s="241">
        <v>1309</v>
      </c>
      <c r="L55" s="241">
        <v>1310</v>
      </c>
      <c r="M55" s="241">
        <v>1311</v>
      </c>
      <c r="N55" s="241">
        <v>1312</v>
      </c>
      <c r="O55" s="241">
        <v>1313</v>
      </c>
      <c r="P55" s="241">
        <v>1314</v>
      </c>
      <c r="Q55" s="241">
        <v>1315</v>
      </c>
      <c r="R55" s="241">
        <v>1316</v>
      </c>
      <c r="S55" s="241">
        <v>1317</v>
      </c>
      <c r="T55" s="241">
        <v>1318</v>
      </c>
      <c r="U55" s="241">
        <v>1319</v>
      </c>
      <c r="V55" s="241">
        <v>1320</v>
      </c>
      <c r="W55" s="241">
        <v>1321</v>
      </c>
      <c r="X55" s="241">
        <v>1322</v>
      </c>
      <c r="Y55" s="241">
        <v>1323</v>
      </c>
      <c r="Z55" s="241">
        <v>1324</v>
      </c>
      <c r="AA55" s="241">
        <v>1325</v>
      </c>
      <c r="AB55" s="241">
        <v>1326</v>
      </c>
      <c r="AC55" s="241">
        <v>1327</v>
      </c>
      <c r="AD55" s="241">
        <v>1328</v>
      </c>
      <c r="AE55" s="241">
        <v>1329</v>
      </c>
      <c r="AF55" s="241">
        <v>1330</v>
      </c>
      <c r="AG55" s="241">
        <v>1331</v>
      </c>
      <c r="AH55" s="241">
        <v>1332</v>
      </c>
      <c r="AI55" s="241">
        <v>1333</v>
      </c>
      <c r="AJ55" s="241">
        <v>1334</v>
      </c>
      <c r="AK55" s="241">
        <v>1335</v>
      </c>
      <c r="AL55" s="241">
        <v>1336</v>
      </c>
      <c r="AM55" s="241">
        <v>1337</v>
      </c>
      <c r="AN55" s="241">
        <v>1338</v>
      </c>
      <c r="AO55" s="241">
        <v>1339</v>
      </c>
      <c r="AP55" s="241">
        <v>1340</v>
      </c>
      <c r="AQ55" s="241">
        <v>1341</v>
      </c>
      <c r="AR55" s="241">
        <v>1342</v>
      </c>
      <c r="AS55" s="241">
        <v>1343</v>
      </c>
      <c r="AT55" s="241">
        <v>1344</v>
      </c>
      <c r="AU55" s="241">
        <v>1345</v>
      </c>
      <c r="AV55" s="241">
        <v>1346</v>
      </c>
      <c r="AW55" s="241">
        <v>1347</v>
      </c>
      <c r="AX55" s="241">
        <v>1348</v>
      </c>
      <c r="AY55" s="241">
        <v>1349</v>
      </c>
      <c r="AZ55" s="241">
        <v>1350</v>
      </c>
      <c r="BA55" s="241">
        <v>1351</v>
      </c>
      <c r="BB55" s="241">
        <v>1352</v>
      </c>
      <c r="BC55" s="241">
        <v>1353</v>
      </c>
      <c r="BD55" s="241">
        <v>1354</v>
      </c>
      <c r="BE55" s="241">
        <v>1355</v>
      </c>
      <c r="BF55" s="241">
        <v>1356</v>
      </c>
      <c r="BG55" s="241">
        <v>1357</v>
      </c>
      <c r="BH55" s="241">
        <v>1358</v>
      </c>
      <c r="BJ55" s="302" t="str">
        <f t="shared" ref="BJ55" si="38">B56&amp;"rd FLOOR"</f>
        <v>13rd FLOOR</v>
      </c>
      <c r="BK55" s="303"/>
      <c r="BL55" s="303"/>
      <c r="BM55" s="303"/>
      <c r="BN55" s="303"/>
      <c r="BO55" s="304"/>
    </row>
    <row r="56" spans="2:67" ht="14.25" customHeight="1" x14ac:dyDescent="0.2">
      <c r="B56" s="246">
        <v>13</v>
      </c>
      <c r="C56" s="240" t="str" cm="1">
        <f t="array" ref="C56:BH56">_xlfn.XLOOKUP(C55:BH55,'[1]111W_BUILDING MATRIX'!$B$8:$B$600,'[1]111W_BUILDING MATRIX'!$E$8:$E$600,"--")</f>
        <v>--</v>
      </c>
      <c r="D56" s="240" t="str">
        <v>--</v>
      </c>
      <c r="E56" s="240" t="str">
        <v>--</v>
      </c>
      <c r="F56" s="240" t="str">
        <v>--</v>
      </c>
      <c r="G56" s="240" t="str">
        <v>--</v>
      </c>
      <c r="H56" s="240" t="str">
        <v>--</v>
      </c>
      <c r="I56" s="240" t="str">
        <v>--</v>
      </c>
      <c r="J56" s="240" t="str">
        <v>--</v>
      </c>
      <c r="K56" s="240" t="str">
        <v>--</v>
      </c>
      <c r="L56" s="240" t="str">
        <v>--</v>
      </c>
      <c r="M56" s="240" t="str">
        <v>--</v>
      </c>
      <c r="N56" s="240" t="str">
        <v>--</v>
      </c>
      <c r="O56" s="240" t="str">
        <v>--</v>
      </c>
      <c r="P56" s="240" t="str">
        <v>--</v>
      </c>
      <c r="Q56" s="240" t="str">
        <v>--</v>
      </c>
      <c r="R56" s="240" t="str">
        <v>--</v>
      </c>
      <c r="S56" s="240" t="str">
        <v>--</v>
      </c>
      <c r="T56" s="240" t="str">
        <v>--</v>
      </c>
      <c r="U56" s="240" t="str">
        <v>--</v>
      </c>
      <c r="V56" s="240" t="str">
        <v>--</v>
      </c>
      <c r="W56" s="240" t="str">
        <v>--</v>
      </c>
      <c r="X56" s="240" t="str">
        <v>--</v>
      </c>
      <c r="Y56" s="240" t="str">
        <v>--</v>
      </c>
      <c r="Z56" s="240" t="str">
        <v>--</v>
      </c>
      <c r="AA56" s="240" t="str">
        <v>--</v>
      </c>
      <c r="AB56" s="240" t="str">
        <v>--</v>
      </c>
      <c r="AC56" s="240" t="str">
        <v>--</v>
      </c>
      <c r="AD56" s="240" t="str">
        <v>--</v>
      </c>
      <c r="AE56" s="240" t="str">
        <v>--</v>
      </c>
      <c r="AF56" s="240" t="str">
        <v>--</v>
      </c>
      <c r="AG56" s="240" t="str">
        <v>--</v>
      </c>
      <c r="AH56" s="240" t="str">
        <v>--</v>
      </c>
      <c r="AI56" s="240" t="str">
        <v>--</v>
      </c>
      <c r="AJ56" s="240" t="str">
        <v>--</v>
      </c>
      <c r="AK56" s="240" t="str">
        <v>--</v>
      </c>
      <c r="AL56" s="240" t="str">
        <v>--</v>
      </c>
      <c r="AM56" s="240" t="str">
        <v>--</v>
      </c>
      <c r="AN56" s="240" t="str">
        <v>--</v>
      </c>
      <c r="AO56" s="240" t="str">
        <v>--</v>
      </c>
      <c r="AP56" s="240" t="str">
        <v>--</v>
      </c>
      <c r="AQ56" s="240" t="str">
        <v>--</v>
      </c>
      <c r="AR56" s="240" t="str">
        <v>--</v>
      </c>
      <c r="AS56" s="240" t="str">
        <v>--</v>
      </c>
      <c r="AT56" s="240" t="str">
        <v>--</v>
      </c>
      <c r="AU56" s="240" t="str">
        <v>--</v>
      </c>
      <c r="AV56" s="240" t="str">
        <v>--</v>
      </c>
      <c r="AW56" s="240" t="str">
        <v>--</v>
      </c>
      <c r="AX56" s="240" t="str">
        <v>--</v>
      </c>
      <c r="AY56" s="240" t="str">
        <v>--</v>
      </c>
      <c r="AZ56" s="240" t="str">
        <v>--</v>
      </c>
      <c r="BA56" s="240" t="str">
        <v>--</v>
      </c>
      <c r="BB56" s="240" t="str">
        <v>--</v>
      </c>
      <c r="BC56" s="240" t="str">
        <v>--</v>
      </c>
      <c r="BD56" s="240" t="str">
        <v>--</v>
      </c>
      <c r="BE56" s="240" t="str">
        <v>--</v>
      </c>
      <c r="BF56" s="240" t="str">
        <v>--</v>
      </c>
      <c r="BG56" s="240" t="str">
        <v>--</v>
      </c>
      <c r="BH56" s="240" t="str">
        <v>--</v>
      </c>
      <c r="BJ56" s="347">
        <f t="shared" ref="BJ56" si="39">COUNTIF(C57:BH57, "D")</f>
        <v>0</v>
      </c>
      <c r="BK56" s="349" t="s">
        <v>16</v>
      </c>
      <c r="BL56" s="349"/>
      <c r="BM56" s="349"/>
      <c r="BN56" s="349">
        <f t="shared" ref="BN56" si="40" xml:space="preserve"> COUNTIF(C57:BH57,"&lt;&gt;--")</f>
        <v>0</v>
      </c>
      <c r="BO56" s="351" t="e">
        <f t="shared" ref="BO56" si="41">BJ56/BN56</f>
        <v>#DIV/0!</v>
      </c>
    </row>
    <row r="57" spans="2:67" ht="15" customHeight="1" thickBot="1" x14ac:dyDescent="0.25">
      <c r="B57" s="247" t="str">
        <v/>
      </c>
      <c r="C57" s="239" t="str" cm="1">
        <f t="array" ref="C57:BH57">_xlfn.XLOOKUP(C55:BH55,'[1]111W_BUILDING MATRIX'!$B$8:$B$600,'[1]111W_BUILDING MATRIX'!$H$8:$H$600,"--")</f>
        <v>--</v>
      </c>
      <c r="D57" s="239" t="str">
        <v>--</v>
      </c>
      <c r="E57" s="239" t="str">
        <v>--</v>
      </c>
      <c r="F57" s="239" t="str">
        <v>--</v>
      </c>
      <c r="G57" s="239" t="str">
        <v>--</v>
      </c>
      <c r="H57" s="239" t="str">
        <v>--</v>
      </c>
      <c r="I57" s="239" t="str">
        <v>--</v>
      </c>
      <c r="J57" s="239" t="str">
        <v>--</v>
      </c>
      <c r="K57" s="239" t="str">
        <v>--</v>
      </c>
      <c r="L57" s="239" t="str">
        <v>--</v>
      </c>
      <c r="M57" s="239" t="str">
        <v>--</v>
      </c>
      <c r="N57" s="239" t="str">
        <v>--</v>
      </c>
      <c r="O57" s="239" t="str">
        <v>--</v>
      </c>
      <c r="P57" s="239" t="str">
        <v>--</v>
      </c>
      <c r="Q57" s="239" t="str">
        <v>--</v>
      </c>
      <c r="R57" s="239" t="str">
        <v>--</v>
      </c>
      <c r="S57" s="239" t="str">
        <v>--</v>
      </c>
      <c r="T57" s="239" t="str">
        <v>--</v>
      </c>
      <c r="U57" s="239" t="str">
        <v>--</v>
      </c>
      <c r="V57" s="239" t="str">
        <v>--</v>
      </c>
      <c r="W57" s="239" t="str">
        <v>--</v>
      </c>
      <c r="X57" s="239" t="str">
        <v>--</v>
      </c>
      <c r="Y57" s="239" t="str">
        <v>--</v>
      </c>
      <c r="Z57" s="239" t="str">
        <v>--</v>
      </c>
      <c r="AA57" s="239" t="str">
        <v>--</v>
      </c>
      <c r="AB57" s="239" t="str">
        <v>--</v>
      </c>
      <c r="AC57" s="239" t="str">
        <v>--</v>
      </c>
      <c r="AD57" s="239" t="str">
        <v>--</v>
      </c>
      <c r="AE57" s="239" t="str">
        <v>--</v>
      </c>
      <c r="AF57" s="239" t="str">
        <v>--</v>
      </c>
      <c r="AG57" s="239" t="str">
        <v>--</v>
      </c>
      <c r="AH57" s="239" t="str">
        <v>--</v>
      </c>
      <c r="AI57" s="239" t="str">
        <v>--</v>
      </c>
      <c r="AJ57" s="239" t="str">
        <v>--</v>
      </c>
      <c r="AK57" s="239" t="str">
        <v>--</v>
      </c>
      <c r="AL57" s="239" t="str">
        <v>--</v>
      </c>
      <c r="AM57" s="239" t="str">
        <v>--</v>
      </c>
      <c r="AN57" s="239" t="str">
        <v>--</v>
      </c>
      <c r="AO57" s="239" t="str">
        <v>--</v>
      </c>
      <c r="AP57" s="239" t="str">
        <v>--</v>
      </c>
      <c r="AQ57" s="239" t="str">
        <v>--</v>
      </c>
      <c r="AR57" s="239" t="str">
        <v>--</v>
      </c>
      <c r="AS57" s="239" t="str">
        <v>--</v>
      </c>
      <c r="AT57" s="239" t="str">
        <v>--</v>
      </c>
      <c r="AU57" s="239" t="str">
        <v>--</v>
      </c>
      <c r="AV57" s="239" t="str">
        <v>--</v>
      </c>
      <c r="AW57" s="239" t="str">
        <v>--</v>
      </c>
      <c r="AX57" s="239" t="str">
        <v>--</v>
      </c>
      <c r="AY57" s="239" t="str">
        <v>--</v>
      </c>
      <c r="AZ57" s="239" t="str">
        <v>--</v>
      </c>
      <c r="BA57" s="239" t="str">
        <v>--</v>
      </c>
      <c r="BB57" s="239" t="str">
        <v>--</v>
      </c>
      <c r="BC57" s="239" t="str">
        <v>--</v>
      </c>
      <c r="BD57" s="239" t="str">
        <v>--</v>
      </c>
      <c r="BE57" s="239" t="str">
        <v>--</v>
      </c>
      <c r="BF57" s="239" t="str">
        <v>--</v>
      </c>
      <c r="BG57" s="239" t="str">
        <v>--</v>
      </c>
      <c r="BH57" s="239" t="str">
        <v>--</v>
      </c>
      <c r="BJ57" s="348"/>
      <c r="BK57" s="350"/>
      <c r="BL57" s="350"/>
      <c r="BM57" s="350"/>
      <c r="BN57" s="350"/>
      <c r="BO57" s="352"/>
    </row>
    <row r="58" spans="2:67" ht="18" customHeight="1" x14ac:dyDescent="0.2">
      <c r="B58" s="248" t="str">
        <v/>
      </c>
      <c r="C58" s="241" cm="1">
        <f t="array" ref="C58:BH58">$B59*100+C$5:BH$5</f>
        <v>1201</v>
      </c>
      <c r="D58" s="241">
        <v>1202</v>
      </c>
      <c r="E58" s="241">
        <v>1203</v>
      </c>
      <c r="F58" s="241">
        <v>1204</v>
      </c>
      <c r="G58" s="241">
        <v>1205</v>
      </c>
      <c r="H58" s="241">
        <v>1206</v>
      </c>
      <c r="I58" s="241">
        <v>1207</v>
      </c>
      <c r="J58" s="241">
        <v>1208</v>
      </c>
      <c r="K58" s="241">
        <v>1209</v>
      </c>
      <c r="L58" s="241">
        <v>1210</v>
      </c>
      <c r="M58" s="241">
        <v>1211</v>
      </c>
      <c r="N58" s="241">
        <v>1212</v>
      </c>
      <c r="O58" s="241">
        <v>1213</v>
      </c>
      <c r="P58" s="241">
        <v>1214</v>
      </c>
      <c r="Q58" s="241">
        <v>1215</v>
      </c>
      <c r="R58" s="241">
        <v>1216</v>
      </c>
      <c r="S58" s="241">
        <v>1217</v>
      </c>
      <c r="T58" s="241">
        <v>1218</v>
      </c>
      <c r="U58" s="241">
        <v>1219</v>
      </c>
      <c r="V58" s="241">
        <v>1220</v>
      </c>
      <c r="W58" s="241">
        <v>1221</v>
      </c>
      <c r="X58" s="241">
        <v>1222</v>
      </c>
      <c r="Y58" s="241">
        <v>1223</v>
      </c>
      <c r="Z58" s="241">
        <v>1224</v>
      </c>
      <c r="AA58" s="241">
        <v>1225</v>
      </c>
      <c r="AB58" s="241">
        <v>1226</v>
      </c>
      <c r="AC58" s="241">
        <v>1227</v>
      </c>
      <c r="AD58" s="241">
        <v>1228</v>
      </c>
      <c r="AE58" s="241">
        <v>1229</v>
      </c>
      <c r="AF58" s="241">
        <v>1230</v>
      </c>
      <c r="AG58" s="241">
        <v>1231</v>
      </c>
      <c r="AH58" s="241">
        <v>1232</v>
      </c>
      <c r="AI58" s="241">
        <v>1233</v>
      </c>
      <c r="AJ58" s="241">
        <v>1234</v>
      </c>
      <c r="AK58" s="241">
        <v>1235</v>
      </c>
      <c r="AL58" s="241">
        <v>1236</v>
      </c>
      <c r="AM58" s="241">
        <v>1237</v>
      </c>
      <c r="AN58" s="241">
        <v>1238</v>
      </c>
      <c r="AO58" s="241">
        <v>1239</v>
      </c>
      <c r="AP58" s="241">
        <v>1240</v>
      </c>
      <c r="AQ58" s="241">
        <v>1241</v>
      </c>
      <c r="AR58" s="241">
        <v>1242</v>
      </c>
      <c r="AS58" s="241">
        <v>1243</v>
      </c>
      <c r="AT58" s="241">
        <v>1244</v>
      </c>
      <c r="AU58" s="241">
        <v>1245</v>
      </c>
      <c r="AV58" s="241">
        <v>1246</v>
      </c>
      <c r="AW58" s="241">
        <v>1247</v>
      </c>
      <c r="AX58" s="241">
        <v>1248</v>
      </c>
      <c r="AY58" s="241">
        <v>1249</v>
      </c>
      <c r="AZ58" s="241">
        <v>1250</v>
      </c>
      <c r="BA58" s="241">
        <v>1251</v>
      </c>
      <c r="BB58" s="241">
        <v>1252</v>
      </c>
      <c r="BC58" s="241">
        <v>1253</v>
      </c>
      <c r="BD58" s="241">
        <v>1254</v>
      </c>
      <c r="BE58" s="241">
        <v>1255</v>
      </c>
      <c r="BF58" s="241">
        <v>1256</v>
      </c>
      <c r="BG58" s="241">
        <v>1257</v>
      </c>
      <c r="BH58" s="241">
        <v>1258</v>
      </c>
      <c r="BJ58" s="302" t="str">
        <f>B59&amp;"nd FLOOR"</f>
        <v>12nd FLOOR</v>
      </c>
      <c r="BK58" s="303"/>
      <c r="BL58" s="303"/>
      <c r="BM58" s="303"/>
      <c r="BN58" s="303"/>
      <c r="BO58" s="304"/>
    </row>
    <row r="59" spans="2:67" s="233" customFormat="1" ht="12.75" customHeight="1" x14ac:dyDescent="0.2">
      <c r="B59" s="249">
        <v>12</v>
      </c>
      <c r="C59" s="240" t="str" cm="1">
        <f t="array" ref="C59:BH59">_xlfn.XLOOKUP(C58:BH58,'[1]111W_BUILDING MATRIX'!$B$8:$B$600,'[1]111W_BUILDING MATRIX'!$E$8:$E$600,"--")</f>
        <v>A01-K24-A</v>
      </c>
      <c r="D59" s="240" t="str">
        <v>A02-K24</v>
      </c>
      <c r="E59" s="240" t="str">
        <v>A03-K24</v>
      </c>
      <c r="F59" s="240" t="str">
        <v>A03-K24-M</v>
      </c>
      <c r="G59" s="240" t="str">
        <v>A03-K24-M</v>
      </c>
      <c r="H59" s="240" t="str">
        <v>A07-K24</v>
      </c>
      <c r="I59" s="240" t="str">
        <v>A03-K24</v>
      </c>
      <c r="J59" s="240" t="str">
        <v>C4-K24</v>
      </c>
      <c r="K59" s="240" t="str">
        <v>A03-K24</v>
      </c>
      <c r="L59" s="240" t="str">
        <v>A03-K24-M</v>
      </c>
      <c r="M59" s="240" t="str">
        <v>A03-K24-M</v>
      </c>
      <c r="N59" s="240" t="str">
        <v>A02-K24</v>
      </c>
      <c r="O59" s="240" t="str">
        <v>C1-K30</v>
      </c>
      <c r="P59" s="240" t="str">
        <v>A07-K24-M</v>
      </c>
      <c r="Q59" s="240" t="str">
        <v>A04-K24</v>
      </c>
      <c r="R59" s="240" t="str">
        <v>A01-K24-M</v>
      </c>
      <c r="S59" s="240" t="str">
        <v>A05-K30</v>
      </c>
      <c r="T59" s="240" t="str">
        <v>A02-K24-A</v>
      </c>
      <c r="U59" s="240" t="str">
        <v>A03-K24-M</v>
      </c>
      <c r="V59" s="240" t="str">
        <v>A02-K24-AM</v>
      </c>
      <c r="W59" s="240" t="str">
        <v>A06-K24-AM</v>
      </c>
      <c r="X59" s="240" t="str">
        <v>A02-K24-M</v>
      </c>
      <c r="Y59" s="240" t="str">
        <v>A03-K24-AM</v>
      </c>
      <c r="Z59" s="240" t="str">
        <v>A07-K24</v>
      </c>
      <c r="AA59" s="240" t="str">
        <v>B02L-K24</v>
      </c>
      <c r="AB59" s="240" t="str">
        <v>B03L-K24-A</v>
      </c>
      <c r="AC59" s="240" t="str">
        <v>B04L-K24-A</v>
      </c>
      <c r="AD59" s="240" t="str">
        <v>A07-K24-A</v>
      </c>
      <c r="AE59" s="240" t="str">
        <v>A07-K24-AM</v>
      </c>
      <c r="AF59" s="240" t="str">
        <v>A09-K24-M</v>
      </c>
      <c r="AG59" s="240" t="str">
        <v>C2-K30</v>
      </c>
      <c r="AH59" s="240" t="str">
        <v>C3-K30-A</v>
      </c>
      <c r="AI59" s="240" t="str">
        <v>B01L-K30</v>
      </c>
      <c r="AJ59" s="240" t="str">
        <v>A07-K24</v>
      </c>
      <c r="AK59" s="240" t="str">
        <v>A02-K24</v>
      </c>
      <c r="AL59" s="240" t="str">
        <v>A03-K24</v>
      </c>
      <c r="AM59" s="240" t="str">
        <v>A07-K24-M</v>
      </c>
      <c r="AN59" s="240" t="str">
        <v>A07-K24</v>
      </c>
      <c r="AO59" s="240" t="str">
        <v>A10-K30</v>
      </c>
      <c r="AP59" s="240" t="str">
        <v>A01-K24-M</v>
      </c>
      <c r="AQ59" s="240" t="str">
        <v>A04-K24</v>
      </c>
      <c r="AR59" s="240" t="str">
        <v>A03-K24-M</v>
      </c>
      <c r="AS59" s="240" t="str">
        <v>B06L-K24</v>
      </c>
      <c r="AT59" s="240" t="str">
        <v>A03-K24-M</v>
      </c>
      <c r="AU59" s="240" t="str">
        <v>A03-K24-M</v>
      </c>
      <c r="AV59" s="240" t="str">
        <v>A03-K24-M</v>
      </c>
      <c r="AW59" s="240" t="str">
        <v>A03-K24-M</v>
      </c>
      <c r="AX59" s="240" t="str">
        <v>A02-K24</v>
      </c>
      <c r="AY59" s="240" t="str">
        <v>A07-K24-A</v>
      </c>
      <c r="AZ59" s="240" t="str">
        <v>A07-K24</v>
      </c>
      <c r="BA59" s="240" t="str">
        <v>A03-K24-A</v>
      </c>
      <c r="BB59" s="240" t="str">
        <v>A02-K24-A</v>
      </c>
      <c r="BC59" s="240" t="str">
        <v>A07-K24-M</v>
      </c>
      <c r="BD59" s="240" t="str">
        <v>B04L-K24-M</v>
      </c>
      <c r="BE59" s="240" t="str">
        <v>A01-K24-M</v>
      </c>
      <c r="BF59" s="240" t="str">
        <v>B08L-K24</v>
      </c>
      <c r="BG59" s="240" t="str">
        <v>A03-K24-M</v>
      </c>
      <c r="BH59" s="240" t="str">
        <v>B12L-K24</v>
      </c>
      <c r="BJ59" s="347">
        <f t="shared" ref="BJ59" si="42">COUNTIF(C60:BH60, "D")</f>
        <v>0</v>
      </c>
      <c r="BK59" s="349" t="s">
        <v>16</v>
      </c>
      <c r="BL59" s="349"/>
      <c r="BM59" s="349"/>
      <c r="BN59" s="349">
        <f t="shared" ref="BN59" si="43" xml:space="preserve"> COUNTIF(C60:BH60,"&lt;&gt;--")</f>
        <v>58</v>
      </c>
      <c r="BO59" s="351">
        <f t="shared" ref="BO59" si="44">BJ59/BN59</f>
        <v>0</v>
      </c>
    </row>
    <row r="60" spans="2:67" ht="15" customHeight="1" thickBot="1" x14ac:dyDescent="0.25">
      <c r="B60" s="250" t="str">
        <v/>
      </c>
      <c r="C60" s="239" t="str" cm="1">
        <f t="array" ref="C60:BH60">_xlfn.XLOOKUP(C58:BH58,'[1]111W_BUILDING MATRIX'!$B$8:$B$600,'[1]111W_BUILDING MATRIX'!$H$8:$H$600,"--")</f>
        <v>PROJ</v>
      </c>
      <c r="D60" s="239" t="str">
        <v>PROJ</v>
      </c>
      <c r="E60" s="239" t="str">
        <v>PROJ</v>
      </c>
      <c r="F60" s="239" t="str">
        <v>PROJ</v>
      </c>
      <c r="G60" s="239" t="str">
        <v>PROJ</v>
      </c>
      <c r="H60" s="239" t="str">
        <v>PROJ</v>
      </c>
      <c r="I60" s="239" t="str">
        <v>PROJ</v>
      </c>
      <c r="J60" s="239" t="str">
        <v>PROJ</v>
      </c>
      <c r="K60" s="239" t="str">
        <v>PROJ</v>
      </c>
      <c r="L60" s="239" t="str">
        <v>PROJ</v>
      </c>
      <c r="M60" s="239" t="str">
        <v>PROJ</v>
      </c>
      <c r="N60" s="239" t="str">
        <v>PROJ</v>
      </c>
      <c r="O60" s="239" t="str">
        <v>PROJ</v>
      </c>
      <c r="P60" s="239" t="str">
        <v>PROJ</v>
      </c>
      <c r="Q60" s="239" t="str">
        <v>PROJ</v>
      </c>
      <c r="R60" s="239" t="str">
        <v>PROJ</v>
      </c>
      <c r="S60" s="239" t="str">
        <v>PROJ</v>
      </c>
      <c r="T60" s="239" t="str">
        <v>PROJ</v>
      </c>
      <c r="U60" s="239" t="str">
        <v>PROJ</v>
      </c>
      <c r="V60" s="239" t="str">
        <v>PROJ</v>
      </c>
      <c r="W60" s="239" t="str">
        <v>PROJ</v>
      </c>
      <c r="X60" s="239" t="str">
        <v>PROJ</v>
      </c>
      <c r="Y60" s="239" t="str">
        <v>PROJ</v>
      </c>
      <c r="Z60" s="239" t="str">
        <v>PROJ</v>
      </c>
      <c r="AA60" s="239" t="str">
        <v>PROJ</v>
      </c>
      <c r="AB60" s="239" t="str">
        <v>PROJ</v>
      </c>
      <c r="AC60" s="239" t="str">
        <v>PROJ</v>
      </c>
      <c r="AD60" s="239" t="str">
        <v>PROJ</v>
      </c>
      <c r="AE60" s="239" t="str">
        <v>PROJ</v>
      </c>
      <c r="AF60" s="239" t="str">
        <v>PROJ</v>
      </c>
      <c r="AG60" s="239" t="str">
        <v>PROJ</v>
      </c>
      <c r="AH60" s="239" t="str">
        <v>PROJ</v>
      </c>
      <c r="AI60" s="239" t="str">
        <v>PROJ</v>
      </c>
      <c r="AJ60" s="239" t="str">
        <v>PROJ</v>
      </c>
      <c r="AK60" s="239" t="str">
        <v>PROJ</v>
      </c>
      <c r="AL60" s="239" t="str">
        <v>PROJ</v>
      </c>
      <c r="AM60" s="239" t="str">
        <v>PROJ</v>
      </c>
      <c r="AN60" s="239" t="str">
        <v>PROJ</v>
      </c>
      <c r="AO60" s="239" t="str">
        <v>PROJ</v>
      </c>
      <c r="AP60" s="239" t="str">
        <v>PROJ</v>
      </c>
      <c r="AQ60" s="239" t="str">
        <v>PROJ</v>
      </c>
      <c r="AR60" s="239" t="str">
        <v>PROJ</v>
      </c>
      <c r="AS60" s="239" t="str">
        <v>PROJ</v>
      </c>
      <c r="AT60" s="239" t="str">
        <v>PROJ</v>
      </c>
      <c r="AU60" s="239" t="str">
        <v>PROJ</v>
      </c>
      <c r="AV60" s="239" t="str">
        <v>PROJ</v>
      </c>
      <c r="AW60" s="239" t="str">
        <v>PROJ</v>
      </c>
      <c r="AX60" s="239" t="e">
        <v>#N/A</v>
      </c>
      <c r="AY60" s="239" t="e">
        <v>#N/A</v>
      </c>
      <c r="AZ60" s="239" t="e">
        <v>#N/A</v>
      </c>
      <c r="BA60" s="239" t="e">
        <v>#N/A</v>
      </c>
      <c r="BB60" s="239" t="e">
        <v>#N/A</v>
      </c>
      <c r="BC60" s="239" t="e">
        <v>#N/A</v>
      </c>
      <c r="BD60" s="239" t="e">
        <v>#N/A</v>
      </c>
      <c r="BE60" s="239" t="e">
        <v>#N/A</v>
      </c>
      <c r="BF60" s="239" t="e">
        <v>#N/A</v>
      </c>
      <c r="BG60" s="239" t="e">
        <v>#N/A</v>
      </c>
      <c r="BH60" s="239" t="e">
        <v>#N/A</v>
      </c>
      <c r="BJ60" s="348"/>
      <c r="BK60" s="350"/>
      <c r="BL60" s="350"/>
      <c r="BM60" s="350"/>
      <c r="BN60" s="350"/>
      <c r="BO60" s="352"/>
    </row>
    <row r="61" spans="2:67" ht="18" customHeight="1" x14ac:dyDescent="0.2">
      <c r="B61" s="245" t="str">
        <v/>
      </c>
      <c r="C61" s="241" cm="1">
        <f t="array" ref="C61:BH61">$B62*100+C$5:BH$5</f>
        <v>1101</v>
      </c>
      <c r="D61" s="241">
        <v>1102</v>
      </c>
      <c r="E61" s="241">
        <v>1103</v>
      </c>
      <c r="F61" s="241">
        <v>1104</v>
      </c>
      <c r="G61" s="241">
        <v>1105</v>
      </c>
      <c r="H61" s="241">
        <v>1106</v>
      </c>
      <c r="I61" s="241">
        <v>1107</v>
      </c>
      <c r="J61" s="241">
        <v>1108</v>
      </c>
      <c r="K61" s="241">
        <v>1109</v>
      </c>
      <c r="L61" s="241">
        <v>1110</v>
      </c>
      <c r="M61" s="241">
        <v>1111</v>
      </c>
      <c r="N61" s="241">
        <v>1112</v>
      </c>
      <c r="O61" s="241">
        <v>1113</v>
      </c>
      <c r="P61" s="241">
        <v>1114</v>
      </c>
      <c r="Q61" s="241">
        <v>1115</v>
      </c>
      <c r="R61" s="241">
        <v>1116</v>
      </c>
      <c r="S61" s="241">
        <v>1117</v>
      </c>
      <c r="T61" s="241">
        <v>1118</v>
      </c>
      <c r="U61" s="241">
        <v>1119</v>
      </c>
      <c r="V61" s="241">
        <v>1120</v>
      </c>
      <c r="W61" s="241">
        <v>1121</v>
      </c>
      <c r="X61" s="241">
        <v>1122</v>
      </c>
      <c r="Y61" s="241">
        <v>1123</v>
      </c>
      <c r="Z61" s="241">
        <v>1124</v>
      </c>
      <c r="AA61" s="241">
        <v>1125</v>
      </c>
      <c r="AB61" s="241">
        <v>1126</v>
      </c>
      <c r="AC61" s="241">
        <v>1127</v>
      </c>
      <c r="AD61" s="241">
        <v>1128</v>
      </c>
      <c r="AE61" s="241">
        <v>1129</v>
      </c>
      <c r="AF61" s="241">
        <v>1130</v>
      </c>
      <c r="AG61" s="241">
        <v>1131</v>
      </c>
      <c r="AH61" s="241">
        <v>1132</v>
      </c>
      <c r="AI61" s="241">
        <v>1133</v>
      </c>
      <c r="AJ61" s="241">
        <v>1134</v>
      </c>
      <c r="AK61" s="241">
        <v>1135</v>
      </c>
      <c r="AL61" s="241">
        <v>1136</v>
      </c>
      <c r="AM61" s="241">
        <v>1137</v>
      </c>
      <c r="AN61" s="241">
        <v>1138</v>
      </c>
      <c r="AO61" s="241">
        <v>1139</v>
      </c>
      <c r="AP61" s="241">
        <v>1140</v>
      </c>
      <c r="AQ61" s="241">
        <v>1141</v>
      </c>
      <c r="AR61" s="241">
        <v>1142</v>
      </c>
      <c r="AS61" s="241">
        <v>1143</v>
      </c>
      <c r="AT61" s="241">
        <v>1144</v>
      </c>
      <c r="AU61" s="241">
        <v>1145</v>
      </c>
      <c r="AV61" s="241">
        <v>1146</v>
      </c>
      <c r="AW61" s="241">
        <v>1147</v>
      </c>
      <c r="AX61" s="241">
        <v>1148</v>
      </c>
      <c r="AY61" s="241">
        <v>1149</v>
      </c>
      <c r="AZ61" s="241">
        <v>1150</v>
      </c>
      <c r="BA61" s="241">
        <v>1151</v>
      </c>
      <c r="BB61" s="241">
        <v>1152</v>
      </c>
      <c r="BC61" s="241">
        <v>1153</v>
      </c>
      <c r="BD61" s="241">
        <v>1154</v>
      </c>
      <c r="BE61" s="241">
        <v>1155</v>
      </c>
      <c r="BF61" s="241">
        <v>1156</v>
      </c>
      <c r="BG61" s="241">
        <v>1157</v>
      </c>
      <c r="BH61" s="241">
        <v>1158</v>
      </c>
      <c r="BJ61" s="302" t="str">
        <f>B62&amp;"st FLOOR"</f>
        <v>11st FLOOR</v>
      </c>
      <c r="BK61" s="303"/>
      <c r="BL61" s="303"/>
      <c r="BM61" s="303"/>
      <c r="BN61" s="303"/>
      <c r="BO61" s="304"/>
    </row>
    <row r="62" spans="2:67" s="233" customFormat="1" ht="12.75" customHeight="1" x14ac:dyDescent="0.2">
      <c r="B62" s="246">
        <v>11</v>
      </c>
      <c r="C62" s="240" t="str" cm="1">
        <f t="array" ref="C62:BH62">_xlfn.XLOOKUP(C61:BH61,'[1]111W_BUILDING MATRIX'!$B$8:$B$600,'[1]111W_BUILDING MATRIX'!$E$8:$E$600,"--")</f>
        <v>A01-K24-A</v>
      </c>
      <c r="D62" s="240" t="str">
        <v>A02-K24</v>
      </c>
      <c r="E62" s="240" t="str">
        <v>A03-K24</v>
      </c>
      <c r="F62" s="240" t="str">
        <v>A03-K24-M</v>
      </c>
      <c r="G62" s="240" t="str">
        <v>A03-K24-M</v>
      </c>
      <c r="H62" s="240" t="str">
        <v>A07-K24</v>
      </c>
      <c r="I62" s="240" t="str">
        <v>A03-K24</v>
      </c>
      <c r="J62" s="240" t="str">
        <v>C4-K24</v>
      </c>
      <c r="K62" s="240" t="str">
        <v>A03-K24</v>
      </c>
      <c r="L62" s="240" t="str">
        <v>A03-K24-M</v>
      </c>
      <c r="M62" s="240" t="str">
        <v>A03-K24-M</v>
      </c>
      <c r="N62" s="240" t="str">
        <v>A02-K24</v>
      </c>
      <c r="O62" s="240" t="str">
        <v>C1-K30</v>
      </c>
      <c r="P62" s="240" t="str">
        <v>A07-K24-M</v>
      </c>
      <c r="Q62" s="240" t="str">
        <v>A04-K24</v>
      </c>
      <c r="R62" s="240" t="str">
        <v>A01-K24-M</v>
      </c>
      <c r="S62" s="240" t="str">
        <v>A05-K30</v>
      </c>
      <c r="T62" s="240" t="str">
        <v>A02-K24-A</v>
      </c>
      <c r="U62" s="240" t="str">
        <v>A03-K24-M</v>
      </c>
      <c r="V62" s="240" t="str">
        <v>A02-K24-AM</v>
      </c>
      <c r="W62" s="240" t="str">
        <v>A06-K24-AM</v>
      </c>
      <c r="X62" s="240" t="str">
        <v>A02-K24-M</v>
      </c>
      <c r="Y62" s="240" t="str">
        <v>A03-K24-AM</v>
      </c>
      <c r="Z62" s="240" t="str">
        <v>A07-K24</v>
      </c>
      <c r="AA62" s="240" t="str">
        <v>B02L-K24</v>
      </c>
      <c r="AB62" s="240" t="str">
        <v>B03L-K24-A</v>
      </c>
      <c r="AC62" s="240" t="str">
        <v>B04L-K24-A</v>
      </c>
      <c r="AD62" s="240" t="str">
        <v>A07-K24-A</v>
      </c>
      <c r="AE62" s="240" t="str">
        <v>A07-K24-AM</v>
      </c>
      <c r="AF62" s="240" t="str">
        <v>A09-K24-M</v>
      </c>
      <c r="AG62" s="240" t="str">
        <v>C2-K30</v>
      </c>
      <c r="AH62" s="240" t="str">
        <v>C3-K30-A</v>
      </c>
      <c r="AI62" s="240" t="str">
        <v>B01L-K30</v>
      </c>
      <c r="AJ62" s="240" t="str">
        <v>A07-K24</v>
      </c>
      <c r="AK62" s="240" t="str">
        <v>A02-K24</v>
      </c>
      <c r="AL62" s="240" t="str">
        <v>A03-K24</v>
      </c>
      <c r="AM62" s="240" t="str">
        <v>A07-K24-M</v>
      </c>
      <c r="AN62" s="240" t="str">
        <v>A07-K24</v>
      </c>
      <c r="AO62" s="240" t="str">
        <v>A10-K30</v>
      </c>
      <c r="AP62" s="240" t="str">
        <v>A01-K24-M</v>
      </c>
      <c r="AQ62" s="240" t="str">
        <v>A04-K24</v>
      </c>
      <c r="AR62" s="240" t="str">
        <v>A03-K24-M</v>
      </c>
      <c r="AS62" s="240" t="str">
        <v>B06L-K24</v>
      </c>
      <c r="AT62" s="240" t="str">
        <v>A03-K24-M</v>
      </c>
      <c r="AU62" s="240" t="str">
        <v>A03-K24-M</v>
      </c>
      <c r="AV62" s="240" t="str">
        <v>A03-K24-M</v>
      </c>
      <c r="AW62" s="240" t="str">
        <v>A03-K24-M</v>
      </c>
      <c r="AX62" s="240" t="str">
        <v>A02-K24</v>
      </c>
      <c r="AY62" s="240" t="str">
        <v>A07-K24-A</v>
      </c>
      <c r="AZ62" s="240" t="str">
        <v>A07-K24</v>
      </c>
      <c r="BA62" s="240" t="str">
        <v>A03-K24-A</v>
      </c>
      <c r="BB62" s="240" t="str">
        <v>A02-K24-A</v>
      </c>
      <c r="BC62" s="240" t="str">
        <v>A07-K24-M</v>
      </c>
      <c r="BD62" s="240" t="str">
        <v>B04L-K24-M</v>
      </c>
      <c r="BE62" s="240" t="str">
        <v>A01-K24-M</v>
      </c>
      <c r="BF62" s="240" t="str">
        <v>B08L-K24</v>
      </c>
      <c r="BG62" s="240" t="str">
        <v>A03-K24-M</v>
      </c>
      <c r="BH62" s="240" t="str">
        <v>B12L-K24</v>
      </c>
      <c r="BJ62" s="347">
        <f t="shared" ref="BJ62" si="45">COUNTIF(C63:BH63, "D")</f>
        <v>0</v>
      </c>
      <c r="BK62" s="349" t="s">
        <v>16</v>
      </c>
      <c r="BL62" s="349"/>
      <c r="BM62" s="349"/>
      <c r="BN62" s="349">
        <f t="shared" ref="BN62" si="46" xml:space="preserve"> COUNTIF(C63:BH63,"&lt;&gt;--")</f>
        <v>58</v>
      </c>
      <c r="BO62" s="351">
        <f t="shared" ref="BO62" si="47">BJ62/BN62</f>
        <v>0</v>
      </c>
    </row>
    <row r="63" spans="2:67" ht="15" customHeight="1" thickBot="1" x14ac:dyDescent="0.25">
      <c r="B63" s="247" t="str">
        <v/>
      </c>
      <c r="C63" s="239" t="str" cm="1">
        <f t="array" ref="C63:BH63">_xlfn.XLOOKUP(C61:BH61,'[1]111W_BUILDING MATRIX'!$B$8:$B$600,'[1]111W_BUILDING MATRIX'!$H$8:$H$600,"--")</f>
        <v>PROJ</v>
      </c>
      <c r="D63" s="239" t="str">
        <v>PROJ</v>
      </c>
      <c r="E63" s="239" t="str">
        <v>PROJ</v>
      </c>
      <c r="F63" s="239" t="str">
        <v>PROJ</v>
      </c>
      <c r="G63" s="239" t="str">
        <v>PROJ</v>
      </c>
      <c r="H63" s="239" t="str">
        <v>PROJ</v>
      </c>
      <c r="I63" s="239" t="str">
        <v>PROJ</v>
      </c>
      <c r="J63" s="239" t="str">
        <v>PROJ</v>
      </c>
      <c r="K63" s="239" t="str">
        <v>PROJ</v>
      </c>
      <c r="L63" s="239" t="str">
        <v>PROJ</v>
      </c>
      <c r="M63" s="239" t="str">
        <v>PROJ</v>
      </c>
      <c r="N63" s="239" t="str">
        <v>PROJ</v>
      </c>
      <c r="O63" s="239" t="str">
        <v>PROJ</v>
      </c>
      <c r="P63" s="239" t="str">
        <v>PROJ</v>
      </c>
      <c r="Q63" s="239" t="str">
        <v>PROJ</v>
      </c>
      <c r="R63" s="239" t="str">
        <v>PROJ</v>
      </c>
      <c r="S63" s="239" t="str">
        <v>PROJ</v>
      </c>
      <c r="T63" s="239" t="str">
        <v>PROJ</v>
      </c>
      <c r="U63" s="239" t="str">
        <v>PROJ</v>
      </c>
      <c r="V63" s="239" t="str">
        <v>PROJ</v>
      </c>
      <c r="W63" s="239" t="str">
        <v>PROJ</v>
      </c>
      <c r="X63" s="239" t="str">
        <v>PROJ</v>
      </c>
      <c r="Y63" s="239" t="str">
        <v>PROJ</v>
      </c>
      <c r="Z63" s="239" t="str">
        <v>PROJ</v>
      </c>
      <c r="AA63" s="239" t="str">
        <v>PROJ</v>
      </c>
      <c r="AB63" s="239" t="str">
        <v>PROJ</v>
      </c>
      <c r="AC63" s="239" t="str">
        <v>PROJ</v>
      </c>
      <c r="AD63" s="239" t="str">
        <v>PROJ</v>
      </c>
      <c r="AE63" s="239" t="str">
        <v>PROJ</v>
      </c>
      <c r="AF63" s="239" t="str">
        <v>PROJ</v>
      </c>
      <c r="AG63" s="239" t="str">
        <v>PROJ</v>
      </c>
      <c r="AH63" s="239" t="str">
        <v>PROJ</v>
      </c>
      <c r="AI63" s="239" t="str">
        <v>PROJ</v>
      </c>
      <c r="AJ63" s="239" t="str">
        <v>PROJ</v>
      </c>
      <c r="AK63" s="239" t="str">
        <v>PROJ</v>
      </c>
      <c r="AL63" s="239" t="str">
        <v>PROJ</v>
      </c>
      <c r="AM63" s="239" t="str">
        <v>PROJ</v>
      </c>
      <c r="AN63" s="239" t="str">
        <v>PROJ</v>
      </c>
      <c r="AO63" s="239" t="str">
        <v>PROJ</v>
      </c>
      <c r="AP63" s="239" t="str">
        <v>PROJ</v>
      </c>
      <c r="AQ63" s="239" t="str">
        <v>PROJ</v>
      </c>
      <c r="AR63" s="239" t="str">
        <v>PROJ</v>
      </c>
      <c r="AS63" s="239" t="str">
        <v>PROJ</v>
      </c>
      <c r="AT63" s="239" t="str">
        <v>PROJ</v>
      </c>
      <c r="AU63" s="239" t="str">
        <v>PROJ</v>
      </c>
      <c r="AV63" s="239" t="str">
        <v>PROJ</v>
      </c>
      <c r="AW63" s="239" t="str">
        <v>PROJ</v>
      </c>
      <c r="AX63" s="239" t="str">
        <v>PROJ</v>
      </c>
      <c r="AY63" s="239" t="str">
        <v>PROJ</v>
      </c>
      <c r="AZ63" s="239" t="e">
        <v>#N/A</v>
      </c>
      <c r="BA63" s="239" t="e">
        <v>#N/A</v>
      </c>
      <c r="BB63" s="239" t="str">
        <v>PROJ</v>
      </c>
      <c r="BC63" s="239" t="str">
        <v>PROJ</v>
      </c>
      <c r="BD63" s="239" t="str">
        <v>PROJ</v>
      </c>
      <c r="BE63" s="239" t="str">
        <v>PROJ</v>
      </c>
      <c r="BF63" s="239" t="str">
        <v>PROJ</v>
      </c>
      <c r="BG63" s="239" t="str">
        <v>PROJ</v>
      </c>
      <c r="BH63" s="239" t="str">
        <v>PROJ</v>
      </c>
      <c r="BJ63" s="348"/>
      <c r="BK63" s="350"/>
      <c r="BL63" s="350"/>
      <c r="BM63" s="350"/>
      <c r="BN63" s="350"/>
      <c r="BO63" s="352"/>
    </row>
    <row r="64" spans="2:67" ht="18" customHeight="1" x14ac:dyDescent="0.2">
      <c r="B64" s="245" t="str">
        <v/>
      </c>
      <c r="C64" s="241" cm="1">
        <f t="array" ref="C64:BH64">$B65*100+C$5:BH$5</f>
        <v>1001</v>
      </c>
      <c r="D64" s="241">
        <v>1002</v>
      </c>
      <c r="E64" s="241">
        <v>1003</v>
      </c>
      <c r="F64" s="241">
        <v>1004</v>
      </c>
      <c r="G64" s="241">
        <v>1005</v>
      </c>
      <c r="H64" s="241">
        <v>1006</v>
      </c>
      <c r="I64" s="241">
        <v>1007</v>
      </c>
      <c r="J64" s="241">
        <v>1008</v>
      </c>
      <c r="K64" s="241">
        <v>1009</v>
      </c>
      <c r="L64" s="241">
        <v>1010</v>
      </c>
      <c r="M64" s="241">
        <v>1011</v>
      </c>
      <c r="N64" s="241">
        <v>1012</v>
      </c>
      <c r="O64" s="241">
        <v>1013</v>
      </c>
      <c r="P64" s="241">
        <v>1014</v>
      </c>
      <c r="Q64" s="241">
        <v>1015</v>
      </c>
      <c r="R64" s="241">
        <v>1016</v>
      </c>
      <c r="S64" s="241">
        <v>1017</v>
      </c>
      <c r="T64" s="241">
        <v>1018</v>
      </c>
      <c r="U64" s="241">
        <v>1019</v>
      </c>
      <c r="V64" s="241">
        <v>1020</v>
      </c>
      <c r="W64" s="241">
        <v>1021</v>
      </c>
      <c r="X64" s="241">
        <v>1022</v>
      </c>
      <c r="Y64" s="241">
        <v>1023</v>
      </c>
      <c r="Z64" s="241">
        <v>1024</v>
      </c>
      <c r="AA64" s="241">
        <v>1025</v>
      </c>
      <c r="AB64" s="241">
        <v>1026</v>
      </c>
      <c r="AC64" s="241">
        <v>1027</v>
      </c>
      <c r="AD64" s="241">
        <v>1028</v>
      </c>
      <c r="AE64" s="241">
        <v>1029</v>
      </c>
      <c r="AF64" s="241">
        <v>1030</v>
      </c>
      <c r="AG64" s="241">
        <v>1031</v>
      </c>
      <c r="AH64" s="241">
        <v>1032</v>
      </c>
      <c r="AI64" s="241">
        <v>1033</v>
      </c>
      <c r="AJ64" s="241">
        <v>1034</v>
      </c>
      <c r="AK64" s="241">
        <v>1035</v>
      </c>
      <c r="AL64" s="241">
        <v>1036</v>
      </c>
      <c r="AM64" s="241">
        <v>1037</v>
      </c>
      <c r="AN64" s="241">
        <v>1038</v>
      </c>
      <c r="AO64" s="241">
        <v>1039</v>
      </c>
      <c r="AP64" s="241">
        <v>1040</v>
      </c>
      <c r="AQ64" s="241">
        <v>1041</v>
      </c>
      <c r="AR64" s="241">
        <v>1042</v>
      </c>
      <c r="AS64" s="241">
        <v>1043</v>
      </c>
      <c r="AT64" s="241">
        <v>1044</v>
      </c>
      <c r="AU64" s="241">
        <v>1045</v>
      </c>
      <c r="AV64" s="241">
        <v>1046</v>
      </c>
      <c r="AW64" s="241">
        <v>1047</v>
      </c>
      <c r="AX64" s="241">
        <v>1048</v>
      </c>
      <c r="AY64" s="241">
        <v>1049</v>
      </c>
      <c r="AZ64" s="241">
        <v>1050</v>
      </c>
      <c r="BA64" s="241">
        <v>1051</v>
      </c>
      <c r="BB64" s="241">
        <v>1052</v>
      </c>
      <c r="BC64" s="241">
        <v>1053</v>
      </c>
      <c r="BD64" s="241">
        <v>1054</v>
      </c>
      <c r="BE64" s="241">
        <v>1055</v>
      </c>
      <c r="BF64" s="241">
        <v>1056</v>
      </c>
      <c r="BG64" s="241">
        <v>1057</v>
      </c>
      <c r="BH64" s="241">
        <v>1058</v>
      </c>
      <c r="BJ64" s="302" t="str">
        <f t="shared" ref="BJ64" si="48">B65&amp;"th FLOOR"</f>
        <v>10th FLOOR</v>
      </c>
      <c r="BK64" s="303"/>
      <c r="BL64" s="303"/>
      <c r="BM64" s="303"/>
      <c r="BN64" s="303"/>
      <c r="BO64" s="304"/>
    </row>
    <row r="65" spans="2:67" s="233" customFormat="1" ht="12.75" customHeight="1" x14ac:dyDescent="0.2">
      <c r="B65" s="246">
        <v>10</v>
      </c>
      <c r="C65" s="240" t="str" cm="1">
        <f t="array" ref="C65:BH65">_xlfn.XLOOKUP(C64:BH64,'[1]111W_BUILDING MATRIX'!$B$8:$B$600,'[1]111W_BUILDING MATRIX'!$E$8:$E$600,"--")</f>
        <v>A01-K24-A</v>
      </c>
      <c r="D65" s="240" t="str">
        <v>A02-K24</v>
      </c>
      <c r="E65" s="240" t="str">
        <v>A03-K24</v>
      </c>
      <c r="F65" s="240" t="str">
        <v>A03-K24-M</v>
      </c>
      <c r="G65" s="240" t="str">
        <v>A03-K24-M</v>
      </c>
      <c r="H65" s="240" t="str">
        <v>A07-K24</v>
      </c>
      <c r="I65" s="240" t="str">
        <v>A03-K24</v>
      </c>
      <c r="J65" s="240" t="str">
        <v>C4-K24</v>
      </c>
      <c r="K65" s="240" t="str">
        <v>A03-K24</v>
      </c>
      <c r="L65" s="240" t="str">
        <v>A03-K24-M</v>
      </c>
      <c r="M65" s="240" t="str">
        <v>A03-K24-M</v>
      </c>
      <c r="N65" s="240" t="str">
        <v>A02-K24</v>
      </c>
      <c r="O65" s="240" t="str">
        <v>C1-K30</v>
      </c>
      <c r="P65" s="240" t="str">
        <v>A07-K24-M</v>
      </c>
      <c r="Q65" s="240" t="str">
        <v>A04-K24</v>
      </c>
      <c r="R65" s="240" t="str">
        <v>A01-K24-M</v>
      </c>
      <c r="S65" s="240" t="str">
        <v>A05-K30</v>
      </c>
      <c r="T65" s="240" t="str">
        <v>A02-K24-A</v>
      </c>
      <c r="U65" s="240" t="str">
        <v>A03-K24-M</v>
      </c>
      <c r="V65" s="240" t="str">
        <v>A02-K24-AM</v>
      </c>
      <c r="W65" s="240" t="str">
        <v>A06-K24-AM</v>
      </c>
      <c r="X65" s="240" t="str">
        <v>A02-K24-M</v>
      </c>
      <c r="Y65" s="240" t="str">
        <v>A03-K24-AM</v>
      </c>
      <c r="Z65" s="240" t="str">
        <v>A07-K24</v>
      </c>
      <c r="AA65" s="240" t="str">
        <v>B02L-K24</v>
      </c>
      <c r="AB65" s="240" t="str">
        <v>B03L-K24-A</v>
      </c>
      <c r="AC65" s="240" t="str">
        <v>B04L-K24-A</v>
      </c>
      <c r="AD65" s="240" t="str">
        <v>A07-K24-A</v>
      </c>
      <c r="AE65" s="240" t="str">
        <v>A07-K24-AM</v>
      </c>
      <c r="AF65" s="240" t="str">
        <v>A09-K24-M</v>
      </c>
      <c r="AG65" s="240" t="str">
        <v>C2-K30</v>
      </c>
      <c r="AH65" s="240" t="str">
        <v>C3-K30-A</v>
      </c>
      <c r="AI65" s="240" t="str">
        <v>B01L-K30</v>
      </c>
      <c r="AJ65" s="240" t="str">
        <v>A07-K24</v>
      </c>
      <c r="AK65" s="240" t="str">
        <v>A02-K24</v>
      </c>
      <c r="AL65" s="240" t="str">
        <v>A03-K24</v>
      </c>
      <c r="AM65" s="240" t="str">
        <v>A07-K24-M</v>
      </c>
      <c r="AN65" s="240" t="str">
        <v>A07-K24</v>
      </c>
      <c r="AO65" s="240" t="str">
        <v>A10-K30</v>
      </c>
      <c r="AP65" s="240" t="str">
        <v>A01-K24-M</v>
      </c>
      <c r="AQ65" s="240" t="str">
        <v>A04-K24</v>
      </c>
      <c r="AR65" s="240" t="str">
        <v>A03-K24-M</v>
      </c>
      <c r="AS65" s="240" t="str">
        <v>B06L-K24</v>
      </c>
      <c r="AT65" s="240" t="str">
        <v>A03-K24-M</v>
      </c>
      <c r="AU65" s="240" t="str">
        <v>A03-K24-M</v>
      </c>
      <c r="AV65" s="240" t="str">
        <v>A03-K24-M</v>
      </c>
      <c r="AW65" s="240" t="str">
        <v>A03-K24-M</v>
      </c>
      <c r="AX65" s="240" t="str">
        <v>A02-K24</v>
      </c>
      <c r="AY65" s="240" t="str">
        <v>A07-K24-A</v>
      </c>
      <c r="AZ65" s="240" t="str">
        <v>A07-K24</v>
      </c>
      <c r="BA65" s="240" t="str">
        <v>A03-K24-A</v>
      </c>
      <c r="BB65" s="240" t="str">
        <v>A02-K24-A</v>
      </c>
      <c r="BC65" s="240" t="str">
        <v>A07-K24-M</v>
      </c>
      <c r="BD65" s="240" t="str">
        <v>B04L-K24-M</v>
      </c>
      <c r="BE65" s="240" t="str">
        <v>A01-K24-M</v>
      </c>
      <c r="BF65" s="240" t="str">
        <v>B08L-K24</v>
      </c>
      <c r="BG65" s="240" t="str">
        <v>A03-K24-M</v>
      </c>
      <c r="BH65" s="240" t="str">
        <v>B12L-K24</v>
      </c>
      <c r="BJ65" s="347">
        <f t="shared" ref="BJ65" si="49">COUNTIF(C66:BH66, "D")</f>
        <v>0</v>
      </c>
      <c r="BK65" s="349" t="s">
        <v>16</v>
      </c>
      <c r="BL65" s="349"/>
      <c r="BM65" s="349"/>
      <c r="BN65" s="349">
        <f t="shared" ref="BN65" si="50" xml:space="preserve"> COUNTIF(C66:BH66,"&lt;&gt;--")</f>
        <v>58</v>
      </c>
      <c r="BO65" s="351">
        <f t="shared" ref="BO65" si="51">BJ65/BN65</f>
        <v>0</v>
      </c>
    </row>
    <row r="66" spans="2:67" ht="15" customHeight="1" thickBot="1" x14ac:dyDescent="0.25">
      <c r="B66" s="247" t="str">
        <v/>
      </c>
      <c r="C66" s="239" t="str" cm="1">
        <f t="array" ref="C66:BH66">_xlfn.XLOOKUP(C64:BH64,'[1]111W_BUILDING MATRIX'!$B$8:$B$600,'[1]111W_BUILDING MATRIX'!$H$8:$H$600,"--")</f>
        <v>PROJ</v>
      </c>
      <c r="D66" s="239" t="str">
        <v>PROJ</v>
      </c>
      <c r="E66" s="239" t="str">
        <v>PROJ</v>
      </c>
      <c r="F66" s="239" t="str">
        <v>PROJ</v>
      </c>
      <c r="G66" s="239" t="str">
        <v>PROJ</v>
      </c>
      <c r="H66" s="239" t="str">
        <v>PROJ</v>
      </c>
      <c r="I66" s="239" t="str">
        <v>PROJ</v>
      </c>
      <c r="J66" s="239" t="str">
        <v>PROJ</v>
      </c>
      <c r="K66" s="239" t="str">
        <v>PROJ</v>
      </c>
      <c r="L66" s="239" t="str">
        <v>PROJ</v>
      </c>
      <c r="M66" s="239" t="str">
        <v>PROJ</v>
      </c>
      <c r="N66" s="239" t="str">
        <v>PROJ</v>
      </c>
      <c r="O66" s="239" t="str">
        <v>PROJ</v>
      </c>
      <c r="P66" s="239" t="str">
        <v>PROJ</v>
      </c>
      <c r="Q66" s="239" t="str">
        <v>PROJ</v>
      </c>
      <c r="R66" s="239" t="str">
        <v>PROJ</v>
      </c>
      <c r="S66" s="239" t="str">
        <v>PROJ</v>
      </c>
      <c r="T66" s="239" t="str">
        <v>PROJ</v>
      </c>
      <c r="U66" s="239" t="str">
        <v>PROJ</v>
      </c>
      <c r="V66" s="239" t="str">
        <v>PROJ</v>
      </c>
      <c r="W66" s="239" t="str">
        <v>PROJ</v>
      </c>
      <c r="X66" s="239" t="str">
        <v>PROJ</v>
      </c>
      <c r="Y66" s="239" t="str">
        <v>PROJ</v>
      </c>
      <c r="Z66" s="239" t="str">
        <v>PROJ</v>
      </c>
      <c r="AA66" s="239" t="str">
        <v>PROJ</v>
      </c>
      <c r="AB66" s="239" t="str">
        <v>PROJ</v>
      </c>
      <c r="AC66" s="239" t="str">
        <v>PROJ</v>
      </c>
      <c r="AD66" s="239" t="str">
        <v>PROJ</v>
      </c>
      <c r="AE66" s="239" t="str">
        <v>PROJ</v>
      </c>
      <c r="AF66" s="239" t="str">
        <v>PROJ</v>
      </c>
      <c r="AG66" s="239" t="str">
        <v>PROJ</v>
      </c>
      <c r="AH66" s="239" t="str">
        <v>PROJ</v>
      </c>
      <c r="AI66" s="239" t="str">
        <v>PROJ</v>
      </c>
      <c r="AJ66" s="239" t="str">
        <v>PROJ</v>
      </c>
      <c r="AK66" s="239" t="str">
        <v>PROJ</v>
      </c>
      <c r="AL66" s="239" t="str">
        <v>PROJ</v>
      </c>
      <c r="AM66" s="239" t="str">
        <v>PROJ</v>
      </c>
      <c r="AN66" s="239" t="str">
        <v>PROJ</v>
      </c>
      <c r="AO66" s="239" t="str">
        <v>PROJ</v>
      </c>
      <c r="AP66" s="239" t="str">
        <v>PROJ</v>
      </c>
      <c r="AQ66" s="239" t="str">
        <v>PROJ</v>
      </c>
      <c r="AR66" s="239" t="str">
        <v>PROJ</v>
      </c>
      <c r="AS66" s="239" t="str">
        <v>PROJ</v>
      </c>
      <c r="AT66" s="239" t="str">
        <v>PROJ</v>
      </c>
      <c r="AU66" s="239" t="str">
        <v>PROJ</v>
      </c>
      <c r="AV66" s="239" t="str">
        <v>PROJ</v>
      </c>
      <c r="AW66" s="239" t="str">
        <v>PROJ</v>
      </c>
      <c r="AX66" s="239" t="str">
        <v>PROJ</v>
      </c>
      <c r="AY66" s="239" t="str">
        <v>PROJ</v>
      </c>
      <c r="AZ66" s="239" t="str">
        <v>PROJ</v>
      </c>
      <c r="BA66" s="239" t="str">
        <v>PROJ</v>
      </c>
      <c r="BB66" s="239" t="str">
        <v>PROJ</v>
      </c>
      <c r="BC66" s="239" t="str">
        <v>PROJ</v>
      </c>
      <c r="BD66" s="239" t="str">
        <v>PROJ</v>
      </c>
      <c r="BE66" s="239" t="str">
        <v>PROJ</v>
      </c>
      <c r="BF66" s="239" t="str">
        <v>PROJ</v>
      </c>
      <c r="BG66" s="239" t="str">
        <v>PROJ</v>
      </c>
      <c r="BH66" s="239" t="str">
        <v>PROJ</v>
      </c>
      <c r="BJ66" s="348"/>
      <c r="BK66" s="350"/>
      <c r="BL66" s="350"/>
      <c r="BM66" s="350"/>
      <c r="BN66" s="350"/>
      <c r="BO66" s="352"/>
    </row>
    <row r="67" spans="2:67" ht="18" customHeight="1" x14ac:dyDescent="0.2">
      <c r="B67" s="245" t="str">
        <v/>
      </c>
      <c r="C67" s="241" cm="1">
        <f t="array" ref="C67:BH67">$B68*100+C$5:BH$5</f>
        <v>901</v>
      </c>
      <c r="D67" s="241">
        <v>902</v>
      </c>
      <c r="E67" s="241">
        <v>903</v>
      </c>
      <c r="F67" s="241">
        <v>904</v>
      </c>
      <c r="G67" s="241">
        <v>905</v>
      </c>
      <c r="H67" s="241">
        <v>906</v>
      </c>
      <c r="I67" s="241">
        <v>907</v>
      </c>
      <c r="J67" s="241">
        <v>908</v>
      </c>
      <c r="K67" s="241">
        <v>909</v>
      </c>
      <c r="L67" s="241">
        <v>910</v>
      </c>
      <c r="M67" s="241">
        <v>911</v>
      </c>
      <c r="N67" s="241">
        <v>912</v>
      </c>
      <c r="O67" s="241">
        <v>913</v>
      </c>
      <c r="P67" s="241">
        <v>914</v>
      </c>
      <c r="Q67" s="241">
        <v>915</v>
      </c>
      <c r="R67" s="241">
        <v>916</v>
      </c>
      <c r="S67" s="241">
        <v>917</v>
      </c>
      <c r="T67" s="241">
        <v>918</v>
      </c>
      <c r="U67" s="241">
        <v>919</v>
      </c>
      <c r="V67" s="241">
        <v>920</v>
      </c>
      <c r="W67" s="241">
        <v>921</v>
      </c>
      <c r="X67" s="241">
        <v>922</v>
      </c>
      <c r="Y67" s="241">
        <v>923</v>
      </c>
      <c r="Z67" s="241">
        <v>924</v>
      </c>
      <c r="AA67" s="241">
        <v>925</v>
      </c>
      <c r="AB67" s="241">
        <v>926</v>
      </c>
      <c r="AC67" s="241">
        <v>927</v>
      </c>
      <c r="AD67" s="241">
        <v>928</v>
      </c>
      <c r="AE67" s="241">
        <v>929</v>
      </c>
      <c r="AF67" s="241">
        <v>930</v>
      </c>
      <c r="AG67" s="241">
        <v>931</v>
      </c>
      <c r="AH67" s="241">
        <v>932</v>
      </c>
      <c r="AI67" s="241">
        <v>933</v>
      </c>
      <c r="AJ67" s="241">
        <v>934</v>
      </c>
      <c r="AK67" s="241">
        <v>935</v>
      </c>
      <c r="AL67" s="241">
        <v>936</v>
      </c>
      <c r="AM67" s="241">
        <v>937</v>
      </c>
      <c r="AN67" s="241">
        <v>938</v>
      </c>
      <c r="AO67" s="241">
        <v>939</v>
      </c>
      <c r="AP67" s="241">
        <v>940</v>
      </c>
      <c r="AQ67" s="241">
        <v>941</v>
      </c>
      <c r="AR67" s="241">
        <v>942</v>
      </c>
      <c r="AS67" s="241">
        <v>943</v>
      </c>
      <c r="AT67" s="241">
        <v>944</v>
      </c>
      <c r="AU67" s="241">
        <v>945</v>
      </c>
      <c r="AV67" s="241">
        <v>946</v>
      </c>
      <c r="AW67" s="241">
        <v>947</v>
      </c>
      <c r="AX67" s="241">
        <v>948</v>
      </c>
      <c r="AY67" s="241">
        <v>949</v>
      </c>
      <c r="AZ67" s="241">
        <v>950</v>
      </c>
      <c r="BA67" s="241">
        <v>951</v>
      </c>
      <c r="BB67" s="241">
        <v>952</v>
      </c>
      <c r="BC67" s="241">
        <v>953</v>
      </c>
      <c r="BD67" s="241">
        <v>954</v>
      </c>
      <c r="BE67" s="241">
        <v>955</v>
      </c>
      <c r="BF67" s="241">
        <v>956</v>
      </c>
      <c r="BG67" s="241">
        <v>957</v>
      </c>
      <c r="BH67" s="241">
        <v>958</v>
      </c>
      <c r="BJ67" s="302" t="str">
        <f>B68&amp;"th FLOOR"</f>
        <v>9th FLOOR</v>
      </c>
      <c r="BK67" s="303"/>
      <c r="BL67" s="303"/>
      <c r="BM67" s="303"/>
      <c r="BN67" s="303"/>
      <c r="BO67" s="304"/>
    </row>
    <row r="68" spans="2:67" s="233" customFormat="1" ht="12.75" customHeight="1" x14ac:dyDescent="0.2">
      <c r="B68" s="246">
        <v>9</v>
      </c>
      <c r="C68" s="240" t="str" cm="1">
        <f t="array" ref="C68:BH68">_xlfn.XLOOKUP(C67:BH67,'[1]111W_BUILDING MATRIX'!$B$8:$B$600,'[1]111W_BUILDING MATRIX'!$E$8:$E$600,"--")</f>
        <v>A01-K24-A</v>
      </c>
      <c r="D68" s="240" t="str">
        <v>A02-K24</v>
      </c>
      <c r="E68" s="240" t="str">
        <v>A03-K24</v>
      </c>
      <c r="F68" s="240" t="str">
        <v>A03-K24-M</v>
      </c>
      <c r="G68" s="240" t="str">
        <v>A03-K24-M</v>
      </c>
      <c r="H68" s="240" t="str">
        <v>A07-K24</v>
      </c>
      <c r="I68" s="240" t="str">
        <v>A03-K24</v>
      </c>
      <c r="J68" s="240" t="str">
        <v>C4-K24</v>
      </c>
      <c r="K68" s="240" t="str">
        <v>A03-K24</v>
      </c>
      <c r="L68" s="240" t="str">
        <v>A03-K24-M</v>
      </c>
      <c r="M68" s="240" t="str">
        <v>A03-K24-M</v>
      </c>
      <c r="N68" s="240" t="str">
        <v>A02-K24</v>
      </c>
      <c r="O68" s="240" t="str">
        <v>C1-K30</v>
      </c>
      <c r="P68" s="240" t="str">
        <v>A07-K24-M</v>
      </c>
      <c r="Q68" s="240" t="str">
        <v>A04-K24</v>
      </c>
      <c r="R68" s="240" t="str">
        <v>A01-K24-M</v>
      </c>
      <c r="S68" s="240" t="str">
        <v>A05-K30</v>
      </c>
      <c r="T68" s="240" t="str">
        <v>A02-K24-A</v>
      </c>
      <c r="U68" s="240" t="str">
        <v>A03-K24-M</v>
      </c>
      <c r="V68" s="240" t="str">
        <v>A02-K24-AM</v>
      </c>
      <c r="W68" s="240" t="str">
        <v>A06-K24-AM</v>
      </c>
      <c r="X68" s="240" t="str">
        <v>A02-K24-M</v>
      </c>
      <c r="Y68" s="240" t="str">
        <v>A03-K24-AM</v>
      </c>
      <c r="Z68" s="240" t="str">
        <v>A07-K24</v>
      </c>
      <c r="AA68" s="240" t="str">
        <v>B02L-K24</v>
      </c>
      <c r="AB68" s="240" t="str">
        <v>B03L-K24-A</v>
      </c>
      <c r="AC68" s="240" t="str">
        <v>B04L-K24-A</v>
      </c>
      <c r="AD68" s="240" t="str">
        <v>A07-K24-A</v>
      </c>
      <c r="AE68" s="240" t="str">
        <v>A07-K24-AM</v>
      </c>
      <c r="AF68" s="240" t="str">
        <v>A09-K24-M</v>
      </c>
      <c r="AG68" s="240" t="str">
        <v>C2-K30</v>
      </c>
      <c r="AH68" s="240" t="str">
        <v>C3-K30-A</v>
      </c>
      <c r="AI68" s="240" t="str">
        <v>B01L-K30</v>
      </c>
      <c r="AJ68" s="240" t="str">
        <v>A07-K24</v>
      </c>
      <c r="AK68" s="240" t="str">
        <v>A02-K24</v>
      </c>
      <c r="AL68" s="240" t="str">
        <v>A03-K24</v>
      </c>
      <c r="AM68" s="240" t="str">
        <v>A07-K24-M</v>
      </c>
      <c r="AN68" s="240" t="str">
        <v>A07-K24</v>
      </c>
      <c r="AO68" s="240" t="str">
        <v>A10-K30</v>
      </c>
      <c r="AP68" s="240" t="str">
        <v>A01-K24-M</v>
      </c>
      <c r="AQ68" s="240" t="str">
        <v>A04-K24</v>
      </c>
      <c r="AR68" s="240" t="str">
        <v>A03-K24-M</v>
      </c>
      <c r="AS68" s="240" t="str">
        <v>B06L-K24</v>
      </c>
      <c r="AT68" s="240" t="str">
        <v>A03-K24-M</v>
      </c>
      <c r="AU68" s="240" t="str">
        <v>A03-K24-M</v>
      </c>
      <c r="AV68" s="240" t="str">
        <v>A03-K24-M</v>
      </c>
      <c r="AW68" s="240" t="str">
        <v>A03-K24-M</v>
      </c>
      <c r="AX68" s="240" t="str">
        <v>A02-K24</v>
      </c>
      <c r="AY68" s="240" t="str">
        <v>A07-K24-A</v>
      </c>
      <c r="AZ68" s="240" t="str">
        <v>A07-K24</v>
      </c>
      <c r="BA68" s="240" t="str">
        <v>A03-K24-A</v>
      </c>
      <c r="BB68" s="240" t="str">
        <v>A02-K24-A</v>
      </c>
      <c r="BC68" s="240" t="str">
        <v>A07-K24-M</v>
      </c>
      <c r="BD68" s="240" t="str">
        <v>B04L-K24-M</v>
      </c>
      <c r="BE68" s="240" t="str">
        <v>A01-K24-M</v>
      </c>
      <c r="BF68" s="240" t="str">
        <v>B08L-K24</v>
      </c>
      <c r="BG68" s="240" t="str">
        <v>A03-K24-M</v>
      </c>
      <c r="BH68" s="240" t="str">
        <v>B12L-K24</v>
      </c>
      <c r="BJ68" s="347">
        <f>COUNTIF(C69:BH69, "D")</f>
        <v>0</v>
      </c>
      <c r="BK68" s="349" t="s">
        <v>16</v>
      </c>
      <c r="BL68" s="349"/>
      <c r="BM68" s="349"/>
      <c r="BN68" s="349">
        <f xml:space="preserve"> COUNTIF(C69:BH69,"&lt;&gt;--")</f>
        <v>58</v>
      </c>
      <c r="BO68" s="351">
        <f>BJ68/BN68</f>
        <v>0</v>
      </c>
    </row>
    <row r="69" spans="2:67" ht="15" customHeight="1" thickBot="1" x14ac:dyDescent="0.25">
      <c r="B69" s="247" t="str">
        <v/>
      </c>
      <c r="C69" s="239" t="str" cm="1">
        <f t="array" ref="C69:BH69">_xlfn.XLOOKUP(C67:BH67,'[1]111W_BUILDING MATRIX'!$B$8:$B$600,'[1]111W_BUILDING MATRIX'!$H$8:$H$600,"--")</f>
        <v>PROJ</v>
      </c>
      <c r="D69" s="239" t="str">
        <v>PROJ</v>
      </c>
      <c r="E69" s="239" t="str">
        <v>PROJ</v>
      </c>
      <c r="F69" s="239" t="str">
        <v>PROJ</v>
      </c>
      <c r="G69" s="239" t="str">
        <v>PROJ</v>
      </c>
      <c r="H69" s="239" t="str">
        <v>PROJ</v>
      </c>
      <c r="I69" s="239" t="str">
        <v>PROJ</v>
      </c>
      <c r="J69" s="239" t="str">
        <v>PROJ</v>
      </c>
      <c r="K69" s="239" t="str">
        <v>PROJ</v>
      </c>
      <c r="L69" s="239" t="str">
        <v>PROJ</v>
      </c>
      <c r="M69" s="239" t="str">
        <v>PROJ</v>
      </c>
      <c r="N69" s="239" t="str">
        <v>PROJ</v>
      </c>
      <c r="O69" s="239" t="str">
        <v>PROJ</v>
      </c>
      <c r="P69" s="239" t="str">
        <v>PROJ</v>
      </c>
      <c r="Q69" s="239" t="str">
        <v>PROJ</v>
      </c>
      <c r="R69" s="239" t="str">
        <v>PROJ</v>
      </c>
      <c r="S69" s="239" t="str">
        <v>PROJ</v>
      </c>
      <c r="T69" s="239" t="str">
        <v>PROJ</v>
      </c>
      <c r="U69" s="239" t="str">
        <v>PROJ</v>
      </c>
      <c r="V69" s="239" t="str">
        <v>PROJ</v>
      </c>
      <c r="W69" s="239" t="str">
        <v>PROJ</v>
      </c>
      <c r="X69" s="239" t="str">
        <v>PROJ</v>
      </c>
      <c r="Y69" s="239" t="str">
        <v>PROJ</v>
      </c>
      <c r="Z69" s="239" t="str">
        <v>PROJ</v>
      </c>
      <c r="AA69" s="239" t="str">
        <v>PROJ</v>
      </c>
      <c r="AB69" s="239" t="str">
        <v>PROJ</v>
      </c>
      <c r="AC69" s="239" t="str">
        <v>PROJ</v>
      </c>
      <c r="AD69" s="239" t="str">
        <v>PROJ</v>
      </c>
      <c r="AE69" s="239" t="str">
        <v>PROJ</v>
      </c>
      <c r="AF69" s="239" t="str">
        <v>PROJ</v>
      </c>
      <c r="AG69" s="239" t="str">
        <v>PROJ</v>
      </c>
      <c r="AH69" s="239" t="str">
        <v>PROJ</v>
      </c>
      <c r="AI69" s="239" t="str">
        <v>PROJ</v>
      </c>
      <c r="AJ69" s="239" t="str">
        <v>PROJ</v>
      </c>
      <c r="AK69" s="239" t="str">
        <v>PROJ</v>
      </c>
      <c r="AL69" s="239" t="str">
        <v>PROJ</v>
      </c>
      <c r="AM69" s="239" t="str">
        <v>PROJ</v>
      </c>
      <c r="AN69" s="239" t="str">
        <v>PROJ</v>
      </c>
      <c r="AO69" s="239" t="str">
        <v>PROJ</v>
      </c>
      <c r="AP69" s="239" t="str">
        <v>PROJ</v>
      </c>
      <c r="AQ69" s="239" t="str">
        <v>PROJ</v>
      </c>
      <c r="AR69" s="239" t="str">
        <v>PROJ</v>
      </c>
      <c r="AS69" s="239" t="str">
        <v>PROJ</v>
      </c>
      <c r="AT69" s="239" t="str">
        <v>PROJ</v>
      </c>
      <c r="AU69" s="239" t="str">
        <v>PROJ</v>
      </c>
      <c r="AV69" s="239" t="str">
        <v>PROJ</v>
      </c>
      <c r="AW69" s="239" t="str">
        <v>PROJ</v>
      </c>
      <c r="AX69" s="239" t="str">
        <v>PROJ</v>
      </c>
      <c r="AY69" s="239" t="str">
        <v>PROJ</v>
      </c>
      <c r="AZ69" s="239" t="str">
        <v>PROJ</v>
      </c>
      <c r="BA69" s="239" t="str">
        <v>PROJ</v>
      </c>
      <c r="BB69" s="239" t="str">
        <v>PROJ</v>
      </c>
      <c r="BC69" s="239" t="str">
        <v>PROJ</v>
      </c>
      <c r="BD69" s="239" t="str">
        <v>PROJ</v>
      </c>
      <c r="BE69" s="239" t="str">
        <v>PROJ</v>
      </c>
      <c r="BF69" s="239" t="str">
        <v>PROJ</v>
      </c>
      <c r="BG69" s="239" t="str">
        <v>PROJ</v>
      </c>
      <c r="BH69" s="239" t="str">
        <v>PROJ</v>
      </c>
      <c r="BJ69" s="348"/>
      <c r="BK69" s="350"/>
      <c r="BL69" s="350"/>
      <c r="BM69" s="350"/>
      <c r="BN69" s="350"/>
      <c r="BO69" s="352"/>
    </row>
    <row r="70" spans="2:67" ht="18" customHeight="1" x14ac:dyDescent="0.2">
      <c r="B70" s="245" t="str">
        <v/>
      </c>
      <c r="C70" s="241" cm="1">
        <f t="array" ref="C70:BH70">$B71*100+C$5:BH$5</f>
        <v>801</v>
      </c>
      <c r="D70" s="241">
        <v>802</v>
      </c>
      <c r="E70" s="241">
        <v>803</v>
      </c>
      <c r="F70" s="241">
        <v>804</v>
      </c>
      <c r="G70" s="241">
        <v>805</v>
      </c>
      <c r="H70" s="241">
        <v>806</v>
      </c>
      <c r="I70" s="241">
        <v>807</v>
      </c>
      <c r="J70" s="241">
        <v>808</v>
      </c>
      <c r="K70" s="241">
        <v>809</v>
      </c>
      <c r="L70" s="241">
        <v>810</v>
      </c>
      <c r="M70" s="241">
        <v>811</v>
      </c>
      <c r="N70" s="241">
        <v>812</v>
      </c>
      <c r="O70" s="241">
        <v>813</v>
      </c>
      <c r="P70" s="241">
        <v>814</v>
      </c>
      <c r="Q70" s="241">
        <v>815</v>
      </c>
      <c r="R70" s="241">
        <v>816</v>
      </c>
      <c r="S70" s="241">
        <v>817</v>
      </c>
      <c r="T70" s="241">
        <v>818</v>
      </c>
      <c r="U70" s="241">
        <v>819</v>
      </c>
      <c r="V70" s="241">
        <v>820</v>
      </c>
      <c r="W70" s="241">
        <v>821</v>
      </c>
      <c r="X70" s="241">
        <v>822</v>
      </c>
      <c r="Y70" s="241">
        <v>823</v>
      </c>
      <c r="Z70" s="241">
        <v>824</v>
      </c>
      <c r="AA70" s="241">
        <v>825</v>
      </c>
      <c r="AB70" s="241">
        <v>826</v>
      </c>
      <c r="AC70" s="241">
        <v>827</v>
      </c>
      <c r="AD70" s="241">
        <v>828</v>
      </c>
      <c r="AE70" s="241">
        <v>829</v>
      </c>
      <c r="AF70" s="241">
        <v>830</v>
      </c>
      <c r="AG70" s="241">
        <v>831</v>
      </c>
      <c r="AH70" s="241">
        <v>832</v>
      </c>
      <c r="AI70" s="241">
        <v>833</v>
      </c>
      <c r="AJ70" s="241">
        <v>834</v>
      </c>
      <c r="AK70" s="241">
        <v>835</v>
      </c>
      <c r="AL70" s="241">
        <v>836</v>
      </c>
      <c r="AM70" s="241">
        <v>837</v>
      </c>
      <c r="AN70" s="241">
        <v>838</v>
      </c>
      <c r="AO70" s="241">
        <v>839</v>
      </c>
      <c r="AP70" s="241">
        <v>840</v>
      </c>
      <c r="AQ70" s="241">
        <v>841</v>
      </c>
      <c r="AR70" s="241">
        <v>842</v>
      </c>
      <c r="AS70" s="241">
        <v>843</v>
      </c>
      <c r="AT70" s="241">
        <v>844</v>
      </c>
      <c r="AU70" s="241">
        <v>845</v>
      </c>
      <c r="AV70" s="241">
        <v>846</v>
      </c>
      <c r="AW70" s="241">
        <v>847</v>
      </c>
      <c r="AX70" s="241">
        <v>848</v>
      </c>
      <c r="AY70" s="241">
        <v>849</v>
      </c>
      <c r="AZ70" s="241">
        <v>850</v>
      </c>
      <c r="BA70" s="241">
        <v>851</v>
      </c>
      <c r="BB70" s="241">
        <v>852</v>
      </c>
      <c r="BC70" s="241">
        <v>853</v>
      </c>
      <c r="BD70" s="241">
        <v>854</v>
      </c>
      <c r="BE70" s="241">
        <v>855</v>
      </c>
      <c r="BF70" s="241">
        <v>856</v>
      </c>
      <c r="BG70" s="241">
        <v>857</v>
      </c>
      <c r="BH70" s="241">
        <v>858</v>
      </c>
      <c r="BJ70" s="302" t="str">
        <f>B71&amp;"th FLOOR"</f>
        <v>8th FLOOR</v>
      </c>
      <c r="BK70" s="303"/>
      <c r="BL70" s="303"/>
      <c r="BM70" s="303"/>
      <c r="BN70" s="303"/>
      <c r="BO70" s="304"/>
    </row>
    <row r="71" spans="2:67" s="233" customFormat="1" ht="12.75" customHeight="1" x14ac:dyDescent="0.2">
      <c r="B71" s="246">
        <v>8</v>
      </c>
      <c r="C71" s="240" t="str" cm="1">
        <f t="array" ref="C71:BH71">_xlfn.XLOOKUP(C70:BH70,'[1]111W_BUILDING MATRIX'!$B$8:$B$600,'[1]111W_BUILDING MATRIX'!$E$8:$E$600,"--")</f>
        <v>A01-K24-A</v>
      </c>
      <c r="D71" s="240" t="str">
        <v>A02-K24</v>
      </c>
      <c r="E71" s="240" t="str">
        <v>A03-K24</v>
      </c>
      <c r="F71" s="240" t="str">
        <v>A03-K24-M</v>
      </c>
      <c r="G71" s="240" t="str">
        <v>A03-K24-M</v>
      </c>
      <c r="H71" s="240" t="str">
        <v>A07-K24</v>
      </c>
      <c r="I71" s="240" t="str">
        <v>A03-K24</v>
      </c>
      <c r="J71" s="240" t="str">
        <v>C4-K24</v>
      </c>
      <c r="K71" s="240" t="str">
        <v>A03-K24</v>
      </c>
      <c r="L71" s="240" t="str">
        <v>A03-K24-M</v>
      </c>
      <c r="M71" s="240" t="str">
        <v>A03-K24-M</v>
      </c>
      <c r="N71" s="240" t="str">
        <v>A02-K24</v>
      </c>
      <c r="O71" s="240" t="str">
        <v>C1-K30</v>
      </c>
      <c r="P71" s="240" t="str">
        <v>A07-K24-M</v>
      </c>
      <c r="Q71" s="240" t="str">
        <v>A04-K24</v>
      </c>
      <c r="R71" s="240" t="str">
        <v>A01-K24-M</v>
      </c>
      <c r="S71" s="240" t="str">
        <v>A05-K30</v>
      </c>
      <c r="T71" s="240" t="str">
        <v>A02-K24-A</v>
      </c>
      <c r="U71" s="240" t="str">
        <v>A03-K24-M</v>
      </c>
      <c r="V71" s="240" t="str">
        <v>A02-K24-AM</v>
      </c>
      <c r="W71" s="240" t="str">
        <v>A06-K24-AM</v>
      </c>
      <c r="X71" s="240" t="str">
        <v>A02-K24-M</v>
      </c>
      <c r="Y71" s="240" t="str">
        <v>A03-K24-AM</v>
      </c>
      <c r="Z71" s="240" t="str">
        <v>A07-K24</v>
      </c>
      <c r="AA71" s="240" t="str">
        <v>B02L-K24</v>
      </c>
      <c r="AB71" s="240" t="str">
        <v>B03L-K24-A</v>
      </c>
      <c r="AC71" s="240" t="str">
        <v>B04L-K24-A</v>
      </c>
      <c r="AD71" s="240" t="str">
        <v>A07-K24-A</v>
      </c>
      <c r="AE71" s="240" t="str">
        <v>A07-K24-AM</v>
      </c>
      <c r="AF71" s="240" t="str">
        <v>A09-K24-M</v>
      </c>
      <c r="AG71" s="240" t="str">
        <v>C2-K30</v>
      </c>
      <c r="AH71" s="240" t="str">
        <v>C3-K30-A</v>
      </c>
      <c r="AI71" s="240" t="str">
        <v>B01L-K30</v>
      </c>
      <c r="AJ71" s="240" t="str">
        <v>A07-K24</v>
      </c>
      <c r="AK71" s="240" t="str">
        <v>A02-K24</v>
      </c>
      <c r="AL71" s="240" t="str">
        <v>A03-K24</v>
      </c>
      <c r="AM71" s="240" t="str">
        <v>A07-K24-M</v>
      </c>
      <c r="AN71" s="240" t="str">
        <v>A07-K24</v>
      </c>
      <c r="AO71" s="240" t="str">
        <v>A10-K30</v>
      </c>
      <c r="AP71" s="240" t="str">
        <v>A01-K24-M</v>
      </c>
      <c r="AQ71" s="240" t="str">
        <v>A04-K24</v>
      </c>
      <c r="AR71" s="240" t="str">
        <v>A03-K24-M</v>
      </c>
      <c r="AS71" s="240" t="str">
        <v>B06L-K24</v>
      </c>
      <c r="AT71" s="240" t="str">
        <v>A03-K24-M</v>
      </c>
      <c r="AU71" s="240" t="str">
        <v>A03-K24-M</v>
      </c>
      <c r="AV71" s="240" t="str">
        <v>A03-K24-M</v>
      </c>
      <c r="AW71" s="240" t="str">
        <v>A03-K24-M</v>
      </c>
      <c r="AX71" s="240" t="str">
        <v>A02-K24</v>
      </c>
      <c r="AY71" s="240" t="str">
        <v>A07-K24-A</v>
      </c>
      <c r="AZ71" s="240" t="str">
        <v>A07-K24</v>
      </c>
      <c r="BA71" s="240" t="str">
        <v>A03-K24-A</v>
      </c>
      <c r="BB71" s="240" t="str">
        <v>A02-K24-A</v>
      </c>
      <c r="BC71" s="240" t="str">
        <v>A07-K24-M</v>
      </c>
      <c r="BD71" s="240" t="str">
        <v>B04L-K24-M</v>
      </c>
      <c r="BE71" s="240" t="str">
        <v>A01-K24-M</v>
      </c>
      <c r="BF71" s="240" t="str">
        <v>B08L-K24</v>
      </c>
      <c r="BG71" s="240" t="str">
        <v>A03-K24-M</v>
      </c>
      <c r="BH71" s="240" t="str">
        <v>B12L-K24</v>
      </c>
      <c r="BJ71" s="347">
        <f>COUNTIF(C72:BH72, "D")</f>
        <v>0</v>
      </c>
      <c r="BK71" s="349" t="s">
        <v>16</v>
      </c>
      <c r="BL71" s="349"/>
      <c r="BM71" s="349"/>
      <c r="BN71" s="349">
        <f xml:space="preserve"> COUNTIF(C72:BH72,"&lt;&gt;--")</f>
        <v>58</v>
      </c>
      <c r="BO71" s="351">
        <f>BJ71/BN71</f>
        <v>0</v>
      </c>
    </row>
    <row r="72" spans="2:67" ht="15" customHeight="1" thickBot="1" x14ac:dyDescent="0.25">
      <c r="B72" s="247" t="str">
        <v/>
      </c>
      <c r="C72" s="239" t="str" cm="1">
        <f t="array" ref="C72:BH72">_xlfn.XLOOKUP(C70:BH70,'[1]111W_BUILDING MATRIX'!$B$8:$B$600,'[1]111W_BUILDING MATRIX'!$H$8:$H$600,"--")</f>
        <v>PROJ</v>
      </c>
      <c r="D72" s="239" t="str">
        <v>PROJ</v>
      </c>
      <c r="E72" s="239" t="str">
        <v>PROJ</v>
      </c>
      <c r="F72" s="239" t="str">
        <v>PROJ</v>
      </c>
      <c r="G72" s="239" t="str">
        <v>PROJ</v>
      </c>
      <c r="H72" s="239" t="str">
        <v>PROJ</v>
      </c>
      <c r="I72" s="239" t="str">
        <v>PROJ</v>
      </c>
      <c r="J72" s="239" t="str">
        <v>PROJ</v>
      </c>
      <c r="K72" s="239" t="str">
        <v>PROJ</v>
      </c>
      <c r="L72" s="239" t="str">
        <v>PROJ</v>
      </c>
      <c r="M72" s="239" t="str">
        <v>PROJ</v>
      </c>
      <c r="N72" s="239" t="str">
        <v>PROJ</v>
      </c>
      <c r="O72" s="239" t="str">
        <v>PROJ</v>
      </c>
      <c r="P72" s="239" t="str">
        <v>PROJ</v>
      </c>
      <c r="Q72" s="239" t="str">
        <v>PROJ</v>
      </c>
      <c r="R72" s="239" t="str">
        <v>PROJ</v>
      </c>
      <c r="S72" s="239" t="str">
        <v>PROJ</v>
      </c>
      <c r="T72" s="239" t="str">
        <v>PROJ</v>
      </c>
      <c r="U72" s="239" t="str">
        <v>PROJ</v>
      </c>
      <c r="V72" s="239" t="str">
        <v>PROJ</v>
      </c>
      <c r="W72" s="239" t="str">
        <v>PROJ</v>
      </c>
      <c r="X72" s="239" t="str">
        <v>PROJ</v>
      </c>
      <c r="Y72" s="239" t="str">
        <v>PROJ</v>
      </c>
      <c r="Z72" s="239" t="str">
        <v>PROJ</v>
      </c>
      <c r="AA72" s="239" t="str">
        <v>PROJ</v>
      </c>
      <c r="AB72" s="239" t="str">
        <v>PROJ</v>
      </c>
      <c r="AC72" s="239" t="str">
        <v>PROJ</v>
      </c>
      <c r="AD72" s="239" t="str">
        <v>PROJ</v>
      </c>
      <c r="AE72" s="239" t="str">
        <v>PROJ</v>
      </c>
      <c r="AF72" s="239" t="str">
        <v>PROJ</v>
      </c>
      <c r="AG72" s="239" t="str">
        <v>PROJ</v>
      </c>
      <c r="AH72" s="239" t="str">
        <v>PROJ</v>
      </c>
      <c r="AI72" s="239" t="str">
        <v>PROJ</v>
      </c>
      <c r="AJ72" s="239" t="str">
        <v>PROJ</v>
      </c>
      <c r="AK72" s="239" t="str">
        <v>PROJ</v>
      </c>
      <c r="AL72" s="239" t="str">
        <v>PROJ</v>
      </c>
      <c r="AM72" s="239" t="str">
        <v>PROJ</v>
      </c>
      <c r="AN72" s="239" t="str">
        <v>PROJ</v>
      </c>
      <c r="AO72" s="239" t="str">
        <v>PROJ</v>
      </c>
      <c r="AP72" s="239" t="str">
        <v>PROJ</v>
      </c>
      <c r="AQ72" s="239" t="str">
        <v>PROJ</v>
      </c>
      <c r="AR72" s="239" t="str">
        <v>PROJ</v>
      </c>
      <c r="AS72" s="239" t="str">
        <v>PROJ</v>
      </c>
      <c r="AT72" s="239" t="str">
        <v>PROJ</v>
      </c>
      <c r="AU72" s="239" t="str">
        <v>PROJ</v>
      </c>
      <c r="AV72" s="239" t="str">
        <v>PROJ</v>
      </c>
      <c r="AW72" s="239" t="str">
        <v>PROJ</v>
      </c>
      <c r="AX72" s="239" t="str">
        <v>PROJ</v>
      </c>
      <c r="AY72" s="239" t="str">
        <v>PROJ</v>
      </c>
      <c r="AZ72" s="239" t="str">
        <v>PROJ</v>
      </c>
      <c r="BA72" s="239" t="str">
        <v>PROJ</v>
      </c>
      <c r="BB72" s="239" t="str">
        <v>PROJ</v>
      </c>
      <c r="BC72" s="239" t="str">
        <v>PROJ</v>
      </c>
      <c r="BD72" s="239" t="str">
        <v>PROJ</v>
      </c>
      <c r="BE72" s="239" t="str">
        <v>PROJ</v>
      </c>
      <c r="BF72" s="239" t="str">
        <v>PROJ</v>
      </c>
      <c r="BG72" s="239" t="str">
        <v>PROJ</v>
      </c>
      <c r="BH72" s="239" t="str">
        <v>PROJ</v>
      </c>
      <c r="BJ72" s="348"/>
      <c r="BK72" s="350"/>
      <c r="BL72" s="350"/>
      <c r="BM72" s="350"/>
      <c r="BN72" s="350"/>
      <c r="BO72" s="352"/>
    </row>
    <row r="73" spans="2:67" s="234" customFormat="1" ht="18" customHeight="1" x14ac:dyDescent="0.2">
      <c r="B73" s="245" t="str">
        <v/>
      </c>
      <c r="C73" s="241" cm="1">
        <f t="array" ref="C73:BH73">$B74*100+C$5:BH$5</f>
        <v>701</v>
      </c>
      <c r="D73" s="241">
        <v>702</v>
      </c>
      <c r="E73" s="241">
        <v>703</v>
      </c>
      <c r="F73" s="241">
        <v>704</v>
      </c>
      <c r="G73" s="241">
        <v>705</v>
      </c>
      <c r="H73" s="241">
        <v>706</v>
      </c>
      <c r="I73" s="241">
        <v>707</v>
      </c>
      <c r="J73" s="241">
        <v>708</v>
      </c>
      <c r="K73" s="241">
        <v>709</v>
      </c>
      <c r="L73" s="241">
        <v>710</v>
      </c>
      <c r="M73" s="241">
        <v>711</v>
      </c>
      <c r="N73" s="241">
        <v>712</v>
      </c>
      <c r="O73" s="241">
        <v>713</v>
      </c>
      <c r="P73" s="241">
        <v>714</v>
      </c>
      <c r="Q73" s="241">
        <v>715</v>
      </c>
      <c r="R73" s="241">
        <v>716</v>
      </c>
      <c r="S73" s="241">
        <v>717</v>
      </c>
      <c r="T73" s="241">
        <v>718</v>
      </c>
      <c r="U73" s="241">
        <v>719</v>
      </c>
      <c r="V73" s="241">
        <v>720</v>
      </c>
      <c r="W73" s="241">
        <v>721</v>
      </c>
      <c r="X73" s="241">
        <v>722</v>
      </c>
      <c r="Y73" s="241">
        <v>723</v>
      </c>
      <c r="Z73" s="241">
        <v>724</v>
      </c>
      <c r="AA73" s="241">
        <v>725</v>
      </c>
      <c r="AB73" s="241">
        <v>726</v>
      </c>
      <c r="AC73" s="241">
        <v>727</v>
      </c>
      <c r="AD73" s="241">
        <v>728</v>
      </c>
      <c r="AE73" s="241">
        <v>729</v>
      </c>
      <c r="AF73" s="241">
        <v>730</v>
      </c>
      <c r="AG73" s="241">
        <v>731</v>
      </c>
      <c r="AH73" s="241">
        <v>732</v>
      </c>
      <c r="AI73" s="241">
        <v>733</v>
      </c>
      <c r="AJ73" s="241">
        <v>734</v>
      </c>
      <c r="AK73" s="241">
        <v>735</v>
      </c>
      <c r="AL73" s="241">
        <v>736</v>
      </c>
      <c r="AM73" s="241">
        <v>737</v>
      </c>
      <c r="AN73" s="241">
        <v>738</v>
      </c>
      <c r="AO73" s="241">
        <v>739</v>
      </c>
      <c r="AP73" s="241">
        <v>740</v>
      </c>
      <c r="AQ73" s="241">
        <v>741</v>
      </c>
      <c r="AR73" s="241">
        <v>742</v>
      </c>
      <c r="AS73" s="241">
        <v>743</v>
      </c>
      <c r="AT73" s="241">
        <v>744</v>
      </c>
      <c r="AU73" s="241">
        <v>745</v>
      </c>
      <c r="AV73" s="241">
        <v>746</v>
      </c>
      <c r="AW73" s="241">
        <v>747</v>
      </c>
      <c r="AX73" s="241">
        <v>748</v>
      </c>
      <c r="AY73" s="241">
        <v>749</v>
      </c>
      <c r="AZ73" s="241">
        <v>750</v>
      </c>
      <c r="BA73" s="241">
        <v>751</v>
      </c>
      <c r="BB73" s="241">
        <v>752</v>
      </c>
      <c r="BC73" s="241">
        <v>753</v>
      </c>
      <c r="BD73" s="241">
        <v>754</v>
      </c>
      <c r="BE73" s="241">
        <v>755</v>
      </c>
      <c r="BF73" s="241">
        <v>756</v>
      </c>
      <c r="BG73" s="241">
        <v>757</v>
      </c>
      <c r="BH73" s="241">
        <v>758</v>
      </c>
      <c r="BJ73" s="302" t="str">
        <f>B74&amp;"th FLOOR"</f>
        <v>7th FLOOR</v>
      </c>
      <c r="BK73" s="303"/>
      <c r="BL73" s="303"/>
      <c r="BM73" s="303"/>
      <c r="BN73" s="303"/>
      <c r="BO73" s="304"/>
    </row>
    <row r="74" spans="2:67" ht="14.25" customHeight="1" x14ac:dyDescent="0.2">
      <c r="B74" s="246">
        <v>7</v>
      </c>
      <c r="C74" s="240" t="str" cm="1">
        <f t="array" ref="C74:BH74">_xlfn.XLOOKUP(C73:BH73,'[1]111W_BUILDING MATRIX'!$B$8:$B$600,'[1]111W_BUILDING MATRIX'!$E$8:$E$600,"--")</f>
        <v>A01-K24-A</v>
      </c>
      <c r="D74" s="240" t="str">
        <v>A02-K24</v>
      </c>
      <c r="E74" s="240" t="str">
        <v>A03-K24</v>
      </c>
      <c r="F74" s="240" t="str">
        <v>A03-K24-M</v>
      </c>
      <c r="G74" s="240" t="str">
        <v>A03-K24-M</v>
      </c>
      <c r="H74" s="240" t="str">
        <v>A07-K24</v>
      </c>
      <c r="I74" s="240" t="str">
        <v>A03-K24</v>
      </c>
      <c r="J74" s="240" t="str">
        <v>C4-K24</v>
      </c>
      <c r="K74" s="240" t="str">
        <v>A03-K24</v>
      </c>
      <c r="L74" s="240" t="str">
        <v>A03-K24-M</v>
      </c>
      <c r="M74" s="240" t="str">
        <v>A03-K24-M</v>
      </c>
      <c r="N74" s="240" t="str">
        <v>A02-K24</v>
      </c>
      <c r="O74" s="240" t="str">
        <v>C1-K30</v>
      </c>
      <c r="P74" s="240" t="str">
        <v>A07-K24-M</v>
      </c>
      <c r="Q74" s="240" t="str">
        <v>A04-K24</v>
      </c>
      <c r="R74" s="240" t="str">
        <v>A01-K24-M</v>
      </c>
      <c r="S74" s="240" t="str">
        <v>A05-K30</v>
      </c>
      <c r="T74" s="240" t="str">
        <v>A02-K24-A</v>
      </c>
      <c r="U74" s="240" t="str">
        <v>A03-K24-M</v>
      </c>
      <c r="V74" s="240" t="str">
        <v>A02-K24-AM</v>
      </c>
      <c r="W74" s="240" t="str">
        <v>A06-K24-AM</v>
      </c>
      <c r="X74" s="240" t="str">
        <v>A02-K24-M</v>
      </c>
      <c r="Y74" s="240" t="str">
        <v>A03-K24-AM</v>
      </c>
      <c r="Z74" s="240" t="str">
        <v>A07-K24</v>
      </c>
      <c r="AA74" s="240" t="str">
        <v>B02L-K24</v>
      </c>
      <c r="AB74" s="240" t="str">
        <v>B03L-K24-A</v>
      </c>
      <c r="AC74" s="240" t="str">
        <v>B04L-K24-A</v>
      </c>
      <c r="AD74" s="240" t="str">
        <v>A07-K24-A</v>
      </c>
      <c r="AE74" s="240" t="str">
        <v>A07-K24-AM</v>
      </c>
      <c r="AF74" s="240" t="str">
        <v>A09-K24-M</v>
      </c>
      <c r="AG74" s="240" t="str">
        <v>C2-K30</v>
      </c>
      <c r="AH74" s="240" t="str">
        <v>C3-K30-A</v>
      </c>
      <c r="AI74" s="240" t="str">
        <v>B01L-K30</v>
      </c>
      <c r="AJ74" s="240" t="str">
        <v>A07-K24</v>
      </c>
      <c r="AK74" s="240" t="str">
        <v>A02-K24</v>
      </c>
      <c r="AL74" s="240" t="str">
        <v>A03-K24</v>
      </c>
      <c r="AM74" s="240" t="str">
        <v>A07-K24-M</v>
      </c>
      <c r="AN74" s="240" t="str">
        <v>A07-K24</v>
      </c>
      <c r="AO74" s="240" t="str">
        <v>A10-K30</v>
      </c>
      <c r="AP74" s="240" t="str">
        <v>A01-K24-M</v>
      </c>
      <c r="AQ74" s="240" t="str">
        <v>A04-K24</v>
      </c>
      <c r="AR74" s="240" t="str">
        <v>A03-K24-M</v>
      </c>
      <c r="AS74" s="240" t="str">
        <v>B06L-K24</v>
      </c>
      <c r="AT74" s="240" t="str">
        <v>A03-K24-M</v>
      </c>
      <c r="AU74" s="240" t="str">
        <v>A03-K24-M</v>
      </c>
      <c r="AV74" s="240" t="str">
        <v>A03-K24-M</v>
      </c>
      <c r="AW74" s="240" t="str">
        <v>A03-K24-M</v>
      </c>
      <c r="AX74" s="240" t="str">
        <v>A02-K24</v>
      </c>
      <c r="AY74" s="240" t="str">
        <v>A07-K24-A</v>
      </c>
      <c r="AZ74" s="240" t="str">
        <v>A07-K24</v>
      </c>
      <c r="BA74" s="240" t="str">
        <v>A03-K24-A</v>
      </c>
      <c r="BB74" s="240" t="str">
        <v>A02-K24-A</v>
      </c>
      <c r="BC74" s="240" t="str">
        <v>A07-K24-M</v>
      </c>
      <c r="BD74" s="240" t="str">
        <v>B04L-K24-M</v>
      </c>
      <c r="BE74" s="240" t="str">
        <v>A01-K24-M</v>
      </c>
      <c r="BF74" s="240" t="str">
        <v>B08L-K24</v>
      </c>
      <c r="BG74" s="240" t="str">
        <v>A03-K24-M</v>
      </c>
      <c r="BH74" s="240" t="str">
        <v>B12L-K24</v>
      </c>
      <c r="BJ74" s="347">
        <f t="shared" ref="BJ74" si="52">COUNTIF(C75:BH75, "D")</f>
        <v>0</v>
      </c>
      <c r="BK74" s="349" t="s">
        <v>16</v>
      </c>
      <c r="BL74" s="349"/>
      <c r="BM74" s="349"/>
      <c r="BN74" s="349">
        <f t="shared" ref="BN74" si="53" xml:space="preserve"> COUNTIF(C75:BH75,"&lt;&gt;--")</f>
        <v>58</v>
      </c>
      <c r="BO74" s="351">
        <f t="shared" ref="BO74" si="54">BJ74/BN74</f>
        <v>0</v>
      </c>
    </row>
    <row r="75" spans="2:67" ht="15" customHeight="1" thickBot="1" x14ac:dyDescent="0.25">
      <c r="B75" s="247" t="str">
        <v/>
      </c>
      <c r="C75" s="239" t="str" cm="1">
        <f t="array" ref="C75:BH75">_xlfn.XLOOKUP(C73:BH73,'[1]111W_BUILDING MATRIX'!$B$8:$B$600,'[1]111W_BUILDING MATRIX'!$H$8:$H$600,"--")</f>
        <v>PROJ</v>
      </c>
      <c r="D75" s="239" t="str">
        <v>PROJ</v>
      </c>
      <c r="E75" s="239" t="str">
        <v>PROJ</v>
      </c>
      <c r="F75" s="239" t="str">
        <v>PROJ</v>
      </c>
      <c r="G75" s="239" t="str">
        <v>PROJ</v>
      </c>
      <c r="H75" s="239" t="str">
        <v>PROJ</v>
      </c>
      <c r="I75" s="239" t="str">
        <v>PROJ</v>
      </c>
      <c r="J75" s="239" t="str">
        <v>PROJ</v>
      </c>
      <c r="K75" s="239" t="str">
        <v>PROJ</v>
      </c>
      <c r="L75" s="239" t="str">
        <v>PROJ</v>
      </c>
      <c r="M75" s="239" t="str">
        <v>PROJ</v>
      </c>
      <c r="N75" s="239" t="str">
        <v>PROJ</v>
      </c>
      <c r="O75" s="239" t="str">
        <v>PROJ</v>
      </c>
      <c r="P75" s="239" t="str">
        <v>PROJ</v>
      </c>
      <c r="Q75" s="239" t="str">
        <v>PROJ</v>
      </c>
      <c r="R75" s="239" t="str">
        <v>PROJ</v>
      </c>
      <c r="S75" s="239" t="str">
        <v>PROJ</v>
      </c>
      <c r="T75" s="239" t="str">
        <v>PROJ</v>
      </c>
      <c r="U75" s="239" t="str">
        <v>PROJ</v>
      </c>
      <c r="V75" s="239" t="str">
        <v>PROJ</v>
      </c>
      <c r="W75" s="239" t="str">
        <v>PROJ</v>
      </c>
      <c r="X75" s="239" t="str">
        <v>PROJ</v>
      </c>
      <c r="Y75" s="239" t="str">
        <v>PROJ</v>
      </c>
      <c r="Z75" s="239" t="str">
        <v>PROJ</v>
      </c>
      <c r="AA75" s="239" t="str">
        <v>PROJ</v>
      </c>
      <c r="AB75" s="239" t="str">
        <v>PROJ</v>
      </c>
      <c r="AC75" s="239" t="str">
        <v>PROJ</v>
      </c>
      <c r="AD75" s="239" t="str">
        <v>PROJ</v>
      </c>
      <c r="AE75" s="239" t="str">
        <v>PROJ</v>
      </c>
      <c r="AF75" s="239" t="str">
        <v>PROJ</v>
      </c>
      <c r="AG75" s="239" t="str">
        <v>PROJ</v>
      </c>
      <c r="AH75" s="239" t="str">
        <v>PROJ</v>
      </c>
      <c r="AI75" s="239" t="str">
        <v>PROJ</v>
      </c>
      <c r="AJ75" s="239" t="str">
        <v>PROJ</v>
      </c>
      <c r="AK75" s="239" t="str">
        <v>PROJ</v>
      </c>
      <c r="AL75" s="239" t="str">
        <v>PROJ</v>
      </c>
      <c r="AM75" s="239" t="str">
        <v>PROJ</v>
      </c>
      <c r="AN75" s="239" t="str">
        <v>PROJ</v>
      </c>
      <c r="AO75" s="239" t="str">
        <v>PROJ</v>
      </c>
      <c r="AP75" s="239" t="str">
        <v>PROJ</v>
      </c>
      <c r="AQ75" s="239" t="str">
        <v>PROJ</v>
      </c>
      <c r="AR75" s="239" t="str">
        <v>PROJ</v>
      </c>
      <c r="AS75" s="239" t="str">
        <v>PROJ</v>
      </c>
      <c r="AT75" s="239" t="str">
        <v>PROJ</v>
      </c>
      <c r="AU75" s="239" t="str">
        <v>PROJ</v>
      </c>
      <c r="AV75" s="239" t="str">
        <v>PROJ</v>
      </c>
      <c r="AW75" s="239" t="str">
        <v>PROJ</v>
      </c>
      <c r="AX75" s="239" t="str">
        <v>PROJ</v>
      </c>
      <c r="AY75" s="239" t="str">
        <v>PROJ</v>
      </c>
      <c r="AZ75" s="239" t="str">
        <v>PROJ</v>
      </c>
      <c r="BA75" s="239" t="str">
        <v>PROJ</v>
      </c>
      <c r="BB75" s="239" t="str">
        <v>PROJ</v>
      </c>
      <c r="BC75" s="239" t="str">
        <v>PROJ</v>
      </c>
      <c r="BD75" s="239" t="str">
        <v>PROJ</v>
      </c>
      <c r="BE75" s="239" t="str">
        <v>PROJ</v>
      </c>
      <c r="BF75" s="239" t="str">
        <v>PROJ</v>
      </c>
      <c r="BG75" s="239" t="str">
        <v>PROJ</v>
      </c>
      <c r="BH75" s="239" t="str">
        <v>PROJ</v>
      </c>
      <c r="BJ75" s="348"/>
      <c r="BK75" s="350"/>
      <c r="BL75" s="350"/>
      <c r="BM75" s="350"/>
      <c r="BN75" s="350"/>
      <c r="BO75" s="352"/>
    </row>
    <row r="76" spans="2:67" ht="18" customHeight="1" x14ac:dyDescent="0.2">
      <c r="B76" s="245" t="str">
        <v/>
      </c>
      <c r="C76" s="241" cm="1">
        <f t="array" ref="C76:BH76">$B77*100+C$5:BH$5</f>
        <v>601</v>
      </c>
      <c r="D76" s="241">
        <v>602</v>
      </c>
      <c r="E76" s="241">
        <v>603</v>
      </c>
      <c r="F76" s="241">
        <v>604</v>
      </c>
      <c r="G76" s="241">
        <v>605</v>
      </c>
      <c r="H76" s="241">
        <v>606</v>
      </c>
      <c r="I76" s="241">
        <v>607</v>
      </c>
      <c r="J76" s="241">
        <v>608</v>
      </c>
      <c r="K76" s="241">
        <v>609</v>
      </c>
      <c r="L76" s="241">
        <v>610</v>
      </c>
      <c r="M76" s="241">
        <v>611</v>
      </c>
      <c r="N76" s="241">
        <v>612</v>
      </c>
      <c r="O76" s="241">
        <v>613</v>
      </c>
      <c r="P76" s="241">
        <v>614</v>
      </c>
      <c r="Q76" s="241">
        <v>615</v>
      </c>
      <c r="R76" s="241">
        <v>616</v>
      </c>
      <c r="S76" s="241">
        <v>617</v>
      </c>
      <c r="T76" s="241">
        <v>618</v>
      </c>
      <c r="U76" s="241">
        <v>619</v>
      </c>
      <c r="V76" s="241">
        <v>620</v>
      </c>
      <c r="W76" s="241">
        <v>621</v>
      </c>
      <c r="X76" s="241">
        <v>622</v>
      </c>
      <c r="Y76" s="241">
        <v>623</v>
      </c>
      <c r="Z76" s="241">
        <v>624</v>
      </c>
      <c r="AA76" s="241">
        <v>625</v>
      </c>
      <c r="AB76" s="241">
        <v>626</v>
      </c>
      <c r="AC76" s="241">
        <v>627</v>
      </c>
      <c r="AD76" s="241">
        <v>628</v>
      </c>
      <c r="AE76" s="241">
        <v>629</v>
      </c>
      <c r="AF76" s="241">
        <v>630</v>
      </c>
      <c r="AG76" s="241">
        <v>631</v>
      </c>
      <c r="AH76" s="241">
        <v>632</v>
      </c>
      <c r="AI76" s="241">
        <v>633</v>
      </c>
      <c r="AJ76" s="241">
        <v>634</v>
      </c>
      <c r="AK76" s="241">
        <v>635</v>
      </c>
      <c r="AL76" s="241">
        <v>636</v>
      </c>
      <c r="AM76" s="241">
        <v>637</v>
      </c>
      <c r="AN76" s="241">
        <v>638</v>
      </c>
      <c r="AO76" s="241">
        <v>639</v>
      </c>
      <c r="AP76" s="241">
        <v>640</v>
      </c>
      <c r="AQ76" s="241">
        <v>641</v>
      </c>
      <c r="AR76" s="241">
        <v>642</v>
      </c>
      <c r="AS76" s="241">
        <v>643</v>
      </c>
      <c r="AT76" s="241">
        <v>644</v>
      </c>
      <c r="AU76" s="241">
        <v>645</v>
      </c>
      <c r="AV76" s="241">
        <v>646</v>
      </c>
      <c r="AW76" s="241">
        <v>647</v>
      </c>
      <c r="AX76" s="241">
        <v>648</v>
      </c>
      <c r="AY76" s="241">
        <v>649</v>
      </c>
      <c r="AZ76" s="241">
        <v>650</v>
      </c>
      <c r="BA76" s="241">
        <v>651</v>
      </c>
      <c r="BB76" s="241">
        <v>652</v>
      </c>
      <c r="BC76" s="241">
        <v>653</v>
      </c>
      <c r="BD76" s="241">
        <v>654</v>
      </c>
      <c r="BE76" s="241">
        <v>655</v>
      </c>
      <c r="BF76" s="241">
        <v>656</v>
      </c>
      <c r="BG76" s="241">
        <v>657</v>
      </c>
      <c r="BH76" s="241">
        <v>658</v>
      </c>
      <c r="BJ76" s="302" t="str">
        <f>B77&amp;"th FLOOR"</f>
        <v>6th FLOOR</v>
      </c>
      <c r="BK76" s="303"/>
      <c r="BL76" s="303"/>
      <c r="BM76" s="303"/>
      <c r="BN76" s="303"/>
      <c r="BO76" s="304"/>
    </row>
    <row r="77" spans="2:67" ht="14.25" customHeight="1" x14ac:dyDescent="0.2">
      <c r="B77" s="246">
        <v>6</v>
      </c>
      <c r="C77" s="240" t="str" cm="1">
        <f t="array" ref="C77:BH77">_xlfn.XLOOKUP(C76:BH76,'[1]111W_BUILDING MATRIX'!$B$8:$B$600,'[1]111W_BUILDING MATRIX'!$E$8:$E$600,"--")</f>
        <v>A01-K24-A</v>
      </c>
      <c r="D77" s="240" t="str">
        <v>A02-K24</v>
      </c>
      <c r="E77" s="240" t="str">
        <v>A03-K24</v>
      </c>
      <c r="F77" s="240" t="str">
        <v>A03-K24-M</v>
      </c>
      <c r="G77" s="240" t="str">
        <v>A03-K24-M</v>
      </c>
      <c r="H77" s="240" t="str">
        <v>A07-K24</v>
      </c>
      <c r="I77" s="240" t="str">
        <v>A03-K24</v>
      </c>
      <c r="J77" s="240" t="str">
        <v>C4-K24</v>
      </c>
      <c r="K77" s="240" t="str">
        <v>A03-K24</v>
      </c>
      <c r="L77" s="240" t="str">
        <v>A03-K24-M</v>
      </c>
      <c r="M77" s="240" t="str">
        <v>A03-K24-M</v>
      </c>
      <c r="N77" s="240" t="str">
        <v>A02-K24</v>
      </c>
      <c r="O77" s="240" t="str">
        <v>C1-K30</v>
      </c>
      <c r="P77" s="240" t="str">
        <v>A07-K24-M</v>
      </c>
      <c r="Q77" s="240" t="str">
        <v>A04-K24</v>
      </c>
      <c r="R77" s="240" t="str">
        <v>A01-K24-M</v>
      </c>
      <c r="S77" s="240" t="str">
        <v>A05-K30</v>
      </c>
      <c r="T77" s="240" t="str">
        <v>A02-K24-A</v>
      </c>
      <c r="U77" s="240" t="str">
        <v>A03-K24-M</v>
      </c>
      <c r="V77" s="240" t="str">
        <v>A02-K24-AM</v>
      </c>
      <c r="W77" s="240" t="str">
        <v>A06-K24-AM</v>
      </c>
      <c r="X77" s="240" t="str">
        <v>A02-K24-M</v>
      </c>
      <c r="Y77" s="240" t="str">
        <v>A03-K24-AM</v>
      </c>
      <c r="Z77" s="240" t="str">
        <v>A07-K24</v>
      </c>
      <c r="AA77" s="240" t="str">
        <v>B02L-K24</v>
      </c>
      <c r="AB77" s="240" t="str">
        <v>B03L-K24-A</v>
      </c>
      <c r="AC77" s="240" t="str">
        <v>B04L-K24-A</v>
      </c>
      <c r="AD77" s="240" t="str">
        <v>A07-K24-A</v>
      </c>
      <c r="AE77" s="240" t="str">
        <v>A07-K24-AM</v>
      </c>
      <c r="AF77" s="240" t="str">
        <v>A09-K24-M</v>
      </c>
      <c r="AG77" s="240" t="str">
        <v>C2-K30</v>
      </c>
      <c r="AH77" s="240" t="str">
        <v>C3-K30-A</v>
      </c>
      <c r="AI77" s="240" t="str">
        <v>B01L-K30</v>
      </c>
      <c r="AJ77" s="240" t="str">
        <v>A07-K24</v>
      </c>
      <c r="AK77" s="240" t="str">
        <v>A02-K24</v>
      </c>
      <c r="AL77" s="240" t="str">
        <v>A03-K24</v>
      </c>
      <c r="AM77" s="240" t="str">
        <v>A07-K24-M</v>
      </c>
      <c r="AN77" s="240" t="str">
        <v>A07-K24</v>
      </c>
      <c r="AO77" s="240" t="str">
        <v>A10-K30</v>
      </c>
      <c r="AP77" s="240" t="str">
        <v>A01-K24-M</v>
      </c>
      <c r="AQ77" s="240" t="str">
        <v>A04-K24</v>
      </c>
      <c r="AR77" s="240" t="str">
        <v>A03-K24-M</v>
      </c>
      <c r="AS77" s="240" t="str">
        <v>B06L-K24</v>
      </c>
      <c r="AT77" s="240" t="str">
        <v>A03-K24-M</v>
      </c>
      <c r="AU77" s="240" t="str">
        <v>A03-K24-M</v>
      </c>
      <c r="AV77" s="240" t="str">
        <v>A03-K24-M</v>
      </c>
      <c r="AW77" s="240" t="str">
        <v>A03-K24-M</v>
      </c>
      <c r="AX77" s="240" t="str">
        <v>A02-K24</v>
      </c>
      <c r="AY77" s="240" t="str">
        <v>A07-K24-A</v>
      </c>
      <c r="AZ77" s="240" t="str">
        <v>A07-K24</v>
      </c>
      <c r="BA77" s="240" t="str">
        <v>A03-K24-A</v>
      </c>
      <c r="BB77" s="240" t="str">
        <v>A02-K24-A</v>
      </c>
      <c r="BC77" s="240" t="str">
        <v>A07-K24-M</v>
      </c>
      <c r="BD77" s="240" t="str">
        <v>B04L-K24-M</v>
      </c>
      <c r="BE77" s="240" t="str">
        <v>A01-K24-M</v>
      </c>
      <c r="BF77" s="240" t="str">
        <v>B08L-K24</v>
      </c>
      <c r="BG77" s="240" t="str">
        <v>A03-K24-M</v>
      </c>
      <c r="BH77" s="240" t="str">
        <v>B12L-K24</v>
      </c>
      <c r="BJ77" s="347">
        <f t="shared" ref="BJ77" si="55">COUNTIF(C78:BH78, "D")</f>
        <v>0</v>
      </c>
      <c r="BK77" s="349" t="s">
        <v>16</v>
      </c>
      <c r="BL77" s="349"/>
      <c r="BM77" s="349"/>
      <c r="BN77" s="349">
        <f t="shared" ref="BN77" si="56" xml:space="preserve"> COUNTIF(C78:BH78,"&lt;&gt;--")</f>
        <v>58</v>
      </c>
      <c r="BO77" s="351">
        <f t="shared" ref="BO77" si="57">BJ77/BN77</f>
        <v>0</v>
      </c>
    </row>
    <row r="78" spans="2:67" ht="15" customHeight="1" thickBot="1" x14ac:dyDescent="0.25">
      <c r="B78" s="247" t="str">
        <v/>
      </c>
      <c r="C78" s="239" t="str" cm="1">
        <f t="array" ref="C78:BH78">_xlfn.XLOOKUP(C76:BH76,'[1]111W_BUILDING MATRIX'!$B$8:$B$600,'[1]111W_BUILDING MATRIX'!$H$8:$H$600,"--")</f>
        <v>PROJ</v>
      </c>
      <c r="D78" s="239" t="str">
        <v>PROJ</v>
      </c>
      <c r="E78" s="239" t="str">
        <v>PROJ</v>
      </c>
      <c r="F78" s="239" t="str">
        <v>PROJ</v>
      </c>
      <c r="G78" s="239" t="str">
        <v>PROJ</v>
      </c>
      <c r="H78" s="239" t="str">
        <v>PROJ</v>
      </c>
      <c r="I78" s="239" t="str">
        <v>PROJ</v>
      </c>
      <c r="J78" s="239" t="str">
        <v>PROJ</v>
      </c>
      <c r="K78" s="239" t="str">
        <v>PROJ</v>
      </c>
      <c r="L78" s="239" t="str">
        <v>PROJ</v>
      </c>
      <c r="M78" s="239" t="str">
        <v>PROJ</v>
      </c>
      <c r="N78" s="239" t="str">
        <v>PROJ</v>
      </c>
      <c r="O78" s="239" t="str">
        <v>PROJ</v>
      </c>
      <c r="P78" s="239" t="str">
        <v>PROJ</v>
      </c>
      <c r="Q78" s="239" t="str">
        <v>PROJ</v>
      </c>
      <c r="R78" s="239" t="str">
        <v>PROJ</v>
      </c>
      <c r="S78" s="239" t="str">
        <v>PROJ</v>
      </c>
      <c r="T78" s="239" t="str">
        <v>PROJ</v>
      </c>
      <c r="U78" s="239" t="str">
        <v>PROJ</v>
      </c>
      <c r="V78" s="239" t="str">
        <v>PROJ</v>
      </c>
      <c r="W78" s="239" t="str">
        <v>PROJ</v>
      </c>
      <c r="X78" s="239" t="str">
        <v>PROJ</v>
      </c>
      <c r="Y78" s="239" t="str">
        <v>PROJ</v>
      </c>
      <c r="Z78" s="239" t="str">
        <v>PROJ</v>
      </c>
      <c r="AA78" s="239" t="str">
        <v>PROJ</v>
      </c>
      <c r="AB78" s="239" t="str">
        <v>PROJ</v>
      </c>
      <c r="AC78" s="239" t="str">
        <v>PROJ</v>
      </c>
      <c r="AD78" s="239" t="str">
        <v>PROJ</v>
      </c>
      <c r="AE78" s="239" t="str">
        <v>PROJ</v>
      </c>
      <c r="AF78" s="239" t="str">
        <v>PROJ</v>
      </c>
      <c r="AG78" s="239" t="str">
        <v>PROJ</v>
      </c>
      <c r="AH78" s="239" t="str">
        <v>PROJ</v>
      </c>
      <c r="AI78" s="239" t="str">
        <v>PROJ</v>
      </c>
      <c r="AJ78" s="239" t="str">
        <v>PROJ</v>
      </c>
      <c r="AK78" s="239" t="str">
        <v>PROJ</v>
      </c>
      <c r="AL78" s="239" t="str">
        <v>PROJ</v>
      </c>
      <c r="AM78" s="239" t="str">
        <v>PROJ</v>
      </c>
      <c r="AN78" s="239" t="str">
        <v>PROJ</v>
      </c>
      <c r="AO78" s="239" t="str">
        <v>PROJ</v>
      </c>
      <c r="AP78" s="239" t="str">
        <v>PROJ</v>
      </c>
      <c r="AQ78" s="239" t="str">
        <v>PROJ</v>
      </c>
      <c r="AR78" s="239" t="str">
        <v>PROJ</v>
      </c>
      <c r="AS78" s="239" t="str">
        <v>PROJ</v>
      </c>
      <c r="AT78" s="239" t="str">
        <v>PROJ</v>
      </c>
      <c r="AU78" s="239" t="str">
        <v>PROJ</v>
      </c>
      <c r="AV78" s="239" t="str">
        <v>PROJ</v>
      </c>
      <c r="AW78" s="239" t="str">
        <v>PROJ</v>
      </c>
      <c r="AX78" s="239" t="str">
        <v>PROJ</v>
      </c>
      <c r="AY78" s="239" t="str">
        <v>PROJ</v>
      </c>
      <c r="AZ78" s="239" t="str">
        <v>PROJ</v>
      </c>
      <c r="BA78" s="239" t="str">
        <v>PROJ</v>
      </c>
      <c r="BB78" s="239" t="str">
        <v>PROJ</v>
      </c>
      <c r="BC78" s="239" t="str">
        <v>PROJ</v>
      </c>
      <c r="BD78" s="239" t="str">
        <v>PROJ</v>
      </c>
      <c r="BE78" s="239" t="str">
        <v>PROJ</v>
      </c>
      <c r="BF78" s="239" t="str">
        <v>PROJ</v>
      </c>
      <c r="BG78" s="239" t="str">
        <v>PROJ</v>
      </c>
      <c r="BH78" s="239" t="str">
        <v>PROJ</v>
      </c>
      <c r="BJ78" s="348"/>
      <c r="BK78" s="350"/>
      <c r="BL78" s="350"/>
      <c r="BM78" s="350"/>
      <c r="BN78" s="350"/>
      <c r="BO78" s="352"/>
    </row>
    <row r="79" spans="2:67" ht="18" customHeight="1" x14ac:dyDescent="0.2">
      <c r="B79" s="245" t="str">
        <v/>
      </c>
      <c r="C79" s="241" cm="1">
        <f t="array" ref="C79:BH79">$B80*100+C$5:BH$5</f>
        <v>501</v>
      </c>
      <c r="D79" s="241">
        <v>502</v>
      </c>
      <c r="E79" s="241">
        <v>503</v>
      </c>
      <c r="F79" s="241">
        <v>504</v>
      </c>
      <c r="G79" s="241">
        <v>505</v>
      </c>
      <c r="H79" s="241">
        <v>506</v>
      </c>
      <c r="I79" s="241">
        <v>507</v>
      </c>
      <c r="J79" s="241">
        <v>508</v>
      </c>
      <c r="K79" s="241">
        <v>509</v>
      </c>
      <c r="L79" s="241">
        <v>510</v>
      </c>
      <c r="M79" s="241">
        <v>511</v>
      </c>
      <c r="N79" s="241">
        <v>512</v>
      </c>
      <c r="O79" s="241">
        <v>513</v>
      </c>
      <c r="P79" s="241">
        <v>514</v>
      </c>
      <c r="Q79" s="241">
        <v>515</v>
      </c>
      <c r="R79" s="241">
        <v>516</v>
      </c>
      <c r="S79" s="241">
        <v>517</v>
      </c>
      <c r="T79" s="241">
        <v>518</v>
      </c>
      <c r="U79" s="241">
        <v>519</v>
      </c>
      <c r="V79" s="241">
        <v>520</v>
      </c>
      <c r="W79" s="241">
        <v>521</v>
      </c>
      <c r="X79" s="241">
        <v>522</v>
      </c>
      <c r="Y79" s="241">
        <v>523</v>
      </c>
      <c r="Z79" s="241">
        <v>524</v>
      </c>
      <c r="AA79" s="241">
        <v>525</v>
      </c>
      <c r="AB79" s="241">
        <v>526</v>
      </c>
      <c r="AC79" s="241">
        <v>527</v>
      </c>
      <c r="AD79" s="241">
        <v>528</v>
      </c>
      <c r="AE79" s="241">
        <v>529</v>
      </c>
      <c r="AF79" s="241">
        <v>530</v>
      </c>
      <c r="AG79" s="241">
        <v>531</v>
      </c>
      <c r="AH79" s="241">
        <v>532</v>
      </c>
      <c r="AI79" s="241">
        <v>533</v>
      </c>
      <c r="AJ79" s="241">
        <v>534</v>
      </c>
      <c r="AK79" s="241">
        <v>535</v>
      </c>
      <c r="AL79" s="241">
        <v>536</v>
      </c>
      <c r="AM79" s="241">
        <v>537</v>
      </c>
      <c r="AN79" s="241">
        <v>538</v>
      </c>
      <c r="AO79" s="241">
        <v>539</v>
      </c>
      <c r="AP79" s="241">
        <v>540</v>
      </c>
      <c r="AQ79" s="241">
        <v>541</v>
      </c>
      <c r="AR79" s="241">
        <v>542</v>
      </c>
      <c r="AS79" s="241">
        <v>543</v>
      </c>
      <c r="AT79" s="241">
        <v>544</v>
      </c>
      <c r="AU79" s="241">
        <v>545</v>
      </c>
      <c r="AV79" s="241">
        <v>546</v>
      </c>
      <c r="AW79" s="241">
        <v>547</v>
      </c>
      <c r="AX79" s="241">
        <v>548</v>
      </c>
      <c r="AY79" s="241">
        <v>549</v>
      </c>
      <c r="AZ79" s="241">
        <v>550</v>
      </c>
      <c r="BA79" s="241">
        <v>551</v>
      </c>
      <c r="BB79" s="241">
        <v>552</v>
      </c>
      <c r="BC79" s="241">
        <v>553</v>
      </c>
      <c r="BD79" s="241">
        <v>554</v>
      </c>
      <c r="BE79" s="241">
        <v>555</v>
      </c>
      <c r="BF79" s="241">
        <v>556</v>
      </c>
      <c r="BG79" s="241">
        <v>557</v>
      </c>
      <c r="BH79" s="241">
        <v>558</v>
      </c>
      <c r="BJ79" s="302" t="str">
        <f>B80&amp;"th FLOOR"</f>
        <v>5th FLOOR</v>
      </c>
      <c r="BK79" s="303"/>
      <c r="BL79" s="303"/>
      <c r="BM79" s="303"/>
      <c r="BN79" s="303"/>
      <c r="BO79" s="304"/>
    </row>
    <row r="80" spans="2:67" ht="14.25" customHeight="1" x14ac:dyDescent="0.2">
      <c r="B80" s="246">
        <v>5</v>
      </c>
      <c r="C80" s="240" t="str" cm="1">
        <f t="array" ref="C80:BH80">_xlfn.XLOOKUP(C79:BH79,'[1]111W_BUILDING MATRIX'!$B$8:$B$600,'[1]111W_BUILDING MATRIX'!$E$8:$E$600,"--")</f>
        <v>A01-K24-A</v>
      </c>
      <c r="D80" s="240" t="str">
        <v>A02-K24</v>
      </c>
      <c r="E80" s="240" t="str">
        <v>A03-K24-A</v>
      </c>
      <c r="F80" s="240" t="str">
        <v>A03-K24-M</v>
      </c>
      <c r="G80" s="240" t="str">
        <v>A03-K24-M</v>
      </c>
      <c r="H80" s="240" t="str">
        <v>A07-K24</v>
      </c>
      <c r="I80" s="240" t="str">
        <v>A03-K24</v>
      </c>
      <c r="J80" s="240" t="str">
        <v>C4-K24</v>
      </c>
      <c r="K80" s="240" t="str">
        <v>A03-K24</v>
      </c>
      <c r="L80" s="240" t="str">
        <v>A03-K24-M</v>
      </c>
      <c r="M80" s="240" t="str">
        <v>A03-K24-M</v>
      </c>
      <c r="N80" s="240" t="str">
        <v>A02-K24</v>
      </c>
      <c r="O80" s="240" t="str">
        <v>C1-K30</v>
      </c>
      <c r="P80" s="240" t="str">
        <v>A07-K24-M</v>
      </c>
      <c r="Q80" s="240" t="str">
        <v>A04-K24</v>
      </c>
      <c r="R80" s="240" t="str">
        <v>A01-K24-M</v>
      </c>
      <c r="S80" s="240" t="str">
        <v>A05-K30</v>
      </c>
      <c r="T80" s="240" t="str">
        <v>A02-K24-A</v>
      </c>
      <c r="U80" s="240" t="str">
        <v>A03-K24-M</v>
      </c>
      <c r="V80" s="240" t="str">
        <v>A02-K24-AM</v>
      </c>
      <c r="W80" s="240" t="str">
        <v>A06-K24-AM</v>
      </c>
      <c r="X80" s="240" t="str">
        <v>A02-K24-M</v>
      </c>
      <c r="Y80" s="240" t="str">
        <v>A03-K24-AM</v>
      </c>
      <c r="Z80" s="240" t="str">
        <v>A07-K24</v>
      </c>
      <c r="AA80" s="240" t="str">
        <v>B02L-K24</v>
      </c>
      <c r="AB80" s="240" t="str">
        <v>B03L-K24-A</v>
      </c>
      <c r="AC80" s="240" t="str">
        <v>B04L-K24-A</v>
      </c>
      <c r="AD80" s="240" t="str">
        <v>A07-K24-A</v>
      </c>
      <c r="AE80" s="240" t="str">
        <v>A07-K24-AM</v>
      </c>
      <c r="AF80" s="240" t="str">
        <v>A09-K24-M</v>
      </c>
      <c r="AG80" s="240" t="str">
        <v>C2-K30</v>
      </c>
      <c r="AH80" s="240" t="str">
        <v>C3-K30-A</v>
      </c>
      <c r="AI80" s="240" t="str">
        <v>B01L-K30</v>
      </c>
      <c r="AJ80" s="240" t="str">
        <v>A07-K24</v>
      </c>
      <c r="AK80" s="240" t="str">
        <v>A02-K24</v>
      </c>
      <c r="AL80" s="240" t="str">
        <v>A03-K24</v>
      </c>
      <c r="AM80" s="240" t="str">
        <v>A07-K24-M</v>
      </c>
      <c r="AN80" s="240" t="str">
        <v>A07-K24</v>
      </c>
      <c r="AO80" s="240" t="str">
        <v>A10-K30</v>
      </c>
      <c r="AP80" s="240" t="str">
        <v>A01-K24-M</v>
      </c>
      <c r="AQ80" s="240" t="str">
        <v>A04-K24</v>
      </c>
      <c r="AR80" s="240" t="str">
        <v>A03-K24-M</v>
      </c>
      <c r="AS80" s="240" t="str">
        <v>B06L-K24</v>
      </c>
      <c r="AT80" s="240" t="str">
        <v>A03-K24-M</v>
      </c>
      <c r="AU80" s="240" t="str">
        <v>A03-K24-M</v>
      </c>
      <c r="AV80" s="240" t="str">
        <v>A03-K24-M</v>
      </c>
      <c r="AW80" s="240" t="str">
        <v>A03-K24-M</v>
      </c>
      <c r="AX80" s="240" t="str">
        <v>A02-K24</v>
      </c>
      <c r="AY80" s="240" t="str">
        <v>A07-K24-A</v>
      </c>
      <c r="AZ80" s="240" t="str">
        <v>A07-K24</v>
      </c>
      <c r="BA80" s="240" t="str">
        <v>A03-K24-A</v>
      </c>
      <c r="BB80" s="240" t="str">
        <v>A02-K24-A</v>
      </c>
      <c r="BC80" s="240" t="str">
        <v>A07-K24-M</v>
      </c>
      <c r="BD80" s="240" t="str">
        <v>B04L-K24-M</v>
      </c>
      <c r="BE80" s="240" t="str">
        <v>A01-K24-M</v>
      </c>
      <c r="BF80" s="240" t="str">
        <v>B08L-K24</v>
      </c>
      <c r="BG80" s="240" t="str">
        <v>A03-K24-M</v>
      </c>
      <c r="BH80" s="240" t="str">
        <v>B12L-K24</v>
      </c>
      <c r="BJ80" s="347">
        <f t="shared" ref="BJ80" si="58">COUNTIF(C81:BH81, "D")</f>
        <v>0</v>
      </c>
      <c r="BK80" s="349" t="s">
        <v>16</v>
      </c>
      <c r="BL80" s="349"/>
      <c r="BM80" s="349"/>
      <c r="BN80" s="349">
        <f t="shared" ref="BN80" si="59" xml:space="preserve"> COUNTIF(C81:BH81,"&lt;&gt;--")</f>
        <v>58</v>
      </c>
      <c r="BO80" s="351">
        <f t="shared" ref="BO80" si="60">BJ80/BN80</f>
        <v>0</v>
      </c>
    </row>
    <row r="81" spans="2:67" ht="15" customHeight="1" thickBot="1" x14ac:dyDescent="0.25">
      <c r="B81" s="247" t="str">
        <v/>
      </c>
      <c r="C81" s="239" t="str" cm="1">
        <f t="array" ref="C81:BH81">_xlfn.XLOOKUP(C79:BH79,'[1]111W_BUILDING MATRIX'!$B$8:$B$600,'[1]111W_BUILDING MATRIX'!$H$8:$H$600,"--")</f>
        <v>PROJ</v>
      </c>
      <c r="D81" s="239" t="str">
        <v>PROJ</v>
      </c>
      <c r="E81" s="239" t="str">
        <v>PROJ</v>
      </c>
      <c r="F81" s="239" t="str">
        <v>PROJ</v>
      </c>
      <c r="G81" s="239" t="str">
        <v>PROJ</v>
      </c>
      <c r="H81" s="239" t="str">
        <v>PROJ</v>
      </c>
      <c r="I81" s="239" t="str">
        <v>PROJ</v>
      </c>
      <c r="J81" s="239" t="str">
        <v>PROJ</v>
      </c>
      <c r="K81" s="239" t="str">
        <v>PROJ</v>
      </c>
      <c r="L81" s="239" t="str">
        <v>PROJ</v>
      </c>
      <c r="M81" s="239" t="str">
        <v>PROJ</v>
      </c>
      <c r="N81" s="239" t="str">
        <v>PROJ</v>
      </c>
      <c r="O81" s="239" t="str">
        <v>PROJ</v>
      </c>
      <c r="P81" s="239" t="str">
        <v>PROJ</v>
      </c>
      <c r="Q81" s="239" t="str">
        <v>PROJ</v>
      </c>
      <c r="R81" s="239" t="str">
        <v>PROJ</v>
      </c>
      <c r="S81" s="239" t="str">
        <v>PROJ</v>
      </c>
      <c r="T81" s="239" t="str">
        <v>PROJ</v>
      </c>
      <c r="U81" s="239" t="str">
        <v>PROJ</v>
      </c>
      <c r="V81" s="239" t="str">
        <v>PROJ</v>
      </c>
      <c r="W81" s="239" t="str">
        <v>PROJ</v>
      </c>
      <c r="X81" s="239" t="str">
        <v>PROJ</v>
      </c>
      <c r="Y81" s="239" t="str">
        <v>PROJ</v>
      </c>
      <c r="Z81" s="239" t="str">
        <v>PROJ</v>
      </c>
      <c r="AA81" s="239" t="str">
        <v>PROJ</v>
      </c>
      <c r="AB81" s="239" t="str">
        <v>PROJ</v>
      </c>
      <c r="AC81" s="239" t="str">
        <v>PROJ</v>
      </c>
      <c r="AD81" s="239" t="str">
        <v>PROJ</v>
      </c>
      <c r="AE81" s="239" t="str">
        <v>PROJ</v>
      </c>
      <c r="AF81" s="239" t="str">
        <v>PROJ</v>
      </c>
      <c r="AG81" s="239" t="str">
        <v>PROJ</v>
      </c>
      <c r="AH81" s="239" t="str">
        <v>PROJ</v>
      </c>
      <c r="AI81" s="239" t="str">
        <v>PROJ</v>
      </c>
      <c r="AJ81" s="239" t="str">
        <v>PROJ</v>
      </c>
      <c r="AK81" s="239" t="str">
        <v>PROJ</v>
      </c>
      <c r="AL81" s="239" t="str">
        <v>PROJ</v>
      </c>
      <c r="AM81" s="239" t="str">
        <v>PROJ</v>
      </c>
      <c r="AN81" s="239" t="str">
        <v>PROJ</v>
      </c>
      <c r="AO81" s="239" t="str">
        <v>PROJ</v>
      </c>
      <c r="AP81" s="239" t="str">
        <v>PROJ</v>
      </c>
      <c r="AQ81" s="239" t="str">
        <v>PROJ</v>
      </c>
      <c r="AR81" s="239" t="str">
        <v>PROJ</v>
      </c>
      <c r="AS81" s="239" t="str">
        <v>PROJ</v>
      </c>
      <c r="AT81" s="239" t="str">
        <v>PROJ</v>
      </c>
      <c r="AU81" s="239" t="str">
        <v>PROJ</v>
      </c>
      <c r="AV81" s="239" t="str">
        <v>PROJ</v>
      </c>
      <c r="AW81" s="239" t="str">
        <v>PROJ</v>
      </c>
      <c r="AX81" s="239" t="str">
        <v>PROJ</v>
      </c>
      <c r="AY81" s="239" t="str">
        <v>PROJ</v>
      </c>
      <c r="AZ81" s="239" t="str">
        <v>PROJ</v>
      </c>
      <c r="BA81" s="239" t="str">
        <v>PROJ</v>
      </c>
      <c r="BB81" s="239" t="str">
        <v>PROJ</v>
      </c>
      <c r="BC81" s="239" t="str">
        <v>PROJ</v>
      </c>
      <c r="BD81" s="239" t="str">
        <v>PROJ</v>
      </c>
      <c r="BE81" s="239" t="str">
        <v>PROJ</v>
      </c>
      <c r="BF81" s="239" t="str">
        <v>PROJ</v>
      </c>
      <c r="BG81" s="239" t="str">
        <v>PROJ</v>
      </c>
      <c r="BH81" s="239" t="str">
        <v>PROJ</v>
      </c>
      <c r="BJ81" s="348"/>
      <c r="BK81" s="350"/>
      <c r="BL81" s="350"/>
      <c r="BM81" s="350"/>
      <c r="BN81" s="350"/>
      <c r="BO81" s="352"/>
    </row>
    <row r="82" spans="2:67" ht="18" customHeight="1" x14ac:dyDescent="0.2">
      <c r="B82" s="245" t="str">
        <v/>
      </c>
      <c r="C82" s="241" cm="1">
        <f t="array" ref="C82:BH82">$B83*100+C$5:BH$5</f>
        <v>401</v>
      </c>
      <c r="D82" s="241">
        <v>402</v>
      </c>
      <c r="E82" s="241">
        <v>403</v>
      </c>
      <c r="F82" s="241">
        <v>404</v>
      </c>
      <c r="G82" s="241">
        <v>405</v>
      </c>
      <c r="H82" s="241">
        <v>406</v>
      </c>
      <c r="I82" s="241">
        <v>407</v>
      </c>
      <c r="J82" s="241">
        <v>408</v>
      </c>
      <c r="K82" s="241">
        <v>409</v>
      </c>
      <c r="L82" s="241">
        <v>410</v>
      </c>
      <c r="M82" s="241">
        <v>411</v>
      </c>
      <c r="N82" s="241">
        <v>412</v>
      </c>
      <c r="O82" s="241">
        <v>413</v>
      </c>
      <c r="P82" s="241">
        <v>414</v>
      </c>
      <c r="Q82" s="241">
        <v>415</v>
      </c>
      <c r="R82" s="241">
        <v>416</v>
      </c>
      <c r="S82" s="241">
        <v>417</v>
      </c>
      <c r="T82" s="241">
        <v>418</v>
      </c>
      <c r="U82" s="241">
        <v>419</v>
      </c>
      <c r="V82" s="241">
        <v>420</v>
      </c>
      <c r="W82" s="241">
        <v>421</v>
      </c>
      <c r="X82" s="241">
        <v>422</v>
      </c>
      <c r="Y82" s="241">
        <v>423</v>
      </c>
      <c r="Z82" s="241">
        <v>424</v>
      </c>
      <c r="AA82" s="241">
        <v>425</v>
      </c>
      <c r="AB82" s="241">
        <v>426</v>
      </c>
      <c r="AC82" s="241">
        <v>427</v>
      </c>
      <c r="AD82" s="241">
        <v>428</v>
      </c>
      <c r="AE82" s="241">
        <v>429</v>
      </c>
      <c r="AF82" s="241">
        <v>430</v>
      </c>
      <c r="AG82" s="241">
        <v>431</v>
      </c>
      <c r="AH82" s="241">
        <v>432</v>
      </c>
      <c r="AI82" s="241">
        <v>433</v>
      </c>
      <c r="AJ82" s="241">
        <v>434</v>
      </c>
      <c r="AK82" s="241">
        <v>435</v>
      </c>
      <c r="AL82" s="241">
        <v>436</v>
      </c>
      <c r="AM82" s="241">
        <v>437</v>
      </c>
      <c r="AN82" s="241">
        <v>438</v>
      </c>
      <c r="AO82" s="241">
        <v>439</v>
      </c>
      <c r="AP82" s="241">
        <v>440</v>
      </c>
      <c r="AQ82" s="241">
        <v>441</v>
      </c>
      <c r="AR82" s="241">
        <v>442</v>
      </c>
      <c r="AS82" s="241">
        <v>443</v>
      </c>
      <c r="AT82" s="241">
        <v>444</v>
      </c>
      <c r="AU82" s="241">
        <v>445</v>
      </c>
      <c r="AV82" s="241">
        <v>446</v>
      </c>
      <c r="AW82" s="241">
        <v>447</v>
      </c>
      <c r="AX82" s="241">
        <v>448</v>
      </c>
      <c r="AY82" s="241">
        <v>449</v>
      </c>
      <c r="AZ82" s="241">
        <v>450</v>
      </c>
      <c r="BA82" s="241">
        <v>451</v>
      </c>
      <c r="BB82" s="241">
        <v>452</v>
      </c>
      <c r="BC82" s="241">
        <v>453</v>
      </c>
      <c r="BD82" s="241">
        <v>454</v>
      </c>
      <c r="BE82" s="241">
        <v>455</v>
      </c>
      <c r="BF82" s="241">
        <v>456</v>
      </c>
      <c r="BG82" s="241">
        <v>457</v>
      </c>
      <c r="BH82" s="241">
        <v>458</v>
      </c>
      <c r="BJ82" s="302" t="str">
        <f>B83&amp;"th FLOOR"</f>
        <v>4th FLOOR</v>
      </c>
      <c r="BK82" s="303"/>
      <c r="BL82" s="303"/>
      <c r="BM82" s="303"/>
      <c r="BN82" s="303"/>
      <c r="BO82" s="304"/>
    </row>
    <row r="83" spans="2:67" ht="14.25" customHeight="1" x14ac:dyDescent="0.2">
      <c r="B83" s="246">
        <v>4</v>
      </c>
      <c r="C83" s="240" t="str" cm="1">
        <f t="array" ref="C83:BH83">_xlfn.XLOOKUP(C82:BH82,'[1]111W_BUILDING MATRIX'!$B$8:$B$600,'[1]111W_BUILDING MATRIX'!$E$8:$E$600,"--")</f>
        <v>A01-K24-A</v>
      </c>
      <c r="D83" s="240" t="str">
        <v>A02-K24</v>
      </c>
      <c r="E83" s="240" t="str">
        <v>A03-K24-A</v>
      </c>
      <c r="F83" s="240" t="str">
        <v>A03-K24-M</v>
      </c>
      <c r="G83" s="240" t="str">
        <v>A03-K24-M</v>
      </c>
      <c r="H83" s="240" t="str">
        <v>A07-K24</v>
      </c>
      <c r="I83" s="240" t="str">
        <v>A03-K24</v>
      </c>
      <c r="J83" s="240" t="str">
        <v>C4-K24</v>
      </c>
      <c r="K83" s="240" t="str">
        <v>A03-K24</v>
      </c>
      <c r="L83" s="240" t="str">
        <v>A03-K24-M</v>
      </c>
      <c r="M83" s="240" t="str">
        <v>A03-K24-M</v>
      </c>
      <c r="N83" s="240" t="str">
        <v>A02-K24</v>
      </c>
      <c r="O83" s="240" t="str">
        <v>C1-K30</v>
      </c>
      <c r="P83" s="240" t="str">
        <v>A07-K24-M</v>
      </c>
      <c r="Q83" s="240" t="str">
        <v>A04-K24</v>
      </c>
      <c r="R83" s="240" t="str">
        <v>A01-K24-M</v>
      </c>
      <c r="S83" s="240" t="str">
        <v>A05-K30</v>
      </c>
      <c r="T83" s="240" t="str">
        <v>A02-K24-A</v>
      </c>
      <c r="U83" s="240" t="str">
        <v>A03-K24-M</v>
      </c>
      <c r="V83" s="240" t="str">
        <v>A02-K24-AM</v>
      </c>
      <c r="W83" s="240" t="str">
        <v>A06-K24-AM</v>
      </c>
      <c r="X83" s="240" t="str">
        <v>A02-K24-M</v>
      </c>
      <c r="Y83" s="240" t="str">
        <v>A03-K24-AM</v>
      </c>
      <c r="Z83" s="240" t="str">
        <v>A07-K24</v>
      </c>
      <c r="AA83" s="240" t="str">
        <v>B02L-K24</v>
      </c>
      <c r="AB83" s="240" t="str">
        <v>B03L-K24-A</v>
      </c>
      <c r="AC83" s="240" t="str">
        <v>B04L-K24-A</v>
      </c>
      <c r="AD83" s="240" t="str">
        <v>A07-K24-A</v>
      </c>
      <c r="AE83" s="240" t="str">
        <v>A07-K24-AM</v>
      </c>
      <c r="AF83" s="240" t="str">
        <v>A09-K24-M</v>
      </c>
      <c r="AG83" s="240" t="str">
        <v>C2-K30</v>
      </c>
      <c r="AH83" s="240" t="str">
        <v>C3-K30-A</v>
      </c>
      <c r="AI83" s="240" t="str">
        <v>B01L-K30</v>
      </c>
      <c r="AJ83" s="240" t="str">
        <v>A07-K24</v>
      </c>
      <c r="AK83" s="240" t="str">
        <v>A02-K24</v>
      </c>
      <c r="AL83" s="240" t="str">
        <v>A03-K24</v>
      </c>
      <c r="AM83" s="240" t="str">
        <v>A07-K24-M</v>
      </c>
      <c r="AN83" s="240" t="str">
        <v>A07-K24</v>
      </c>
      <c r="AO83" s="240" t="str">
        <v>A10-K30</v>
      </c>
      <c r="AP83" s="240" t="str">
        <v>A01-K24-M</v>
      </c>
      <c r="AQ83" s="240" t="str">
        <v>A04-K24</v>
      </c>
      <c r="AR83" s="240" t="str">
        <v>A03-K24-M</v>
      </c>
      <c r="AS83" s="240" t="str">
        <v>B06L-K24</v>
      </c>
      <c r="AT83" s="240" t="str">
        <v>A03-K24-M</v>
      </c>
      <c r="AU83" s="240" t="str">
        <v>A03-K24-M</v>
      </c>
      <c r="AV83" s="240" t="str">
        <v>A03-K24-M</v>
      </c>
      <c r="AW83" s="240" t="str">
        <v>A03-K24-M</v>
      </c>
      <c r="AX83" s="240" t="str">
        <v>A02-K24</v>
      </c>
      <c r="AY83" s="240" t="str">
        <v>A07-K24-A</v>
      </c>
      <c r="AZ83" s="240" t="str">
        <v>A07-K24</v>
      </c>
      <c r="BA83" s="240" t="str">
        <v>A03-K24-A</v>
      </c>
      <c r="BB83" s="240" t="str">
        <v>A02-K24-A</v>
      </c>
      <c r="BC83" s="240" t="str">
        <v>A07-K24-M</v>
      </c>
      <c r="BD83" s="240" t="str">
        <v>B04L-K24-M</v>
      </c>
      <c r="BE83" s="240" t="str">
        <v>A01-K24-M</v>
      </c>
      <c r="BF83" s="240" t="str">
        <v>B08L-K24</v>
      </c>
      <c r="BG83" s="240" t="str">
        <v>A03-K24-M</v>
      </c>
      <c r="BH83" s="240" t="str">
        <v>B12L-K24</v>
      </c>
      <c r="BJ83" s="347">
        <f t="shared" ref="BJ83" si="61">COUNTIF(C84:BH84, "D")</f>
        <v>0</v>
      </c>
      <c r="BK83" s="349" t="s">
        <v>16</v>
      </c>
      <c r="BL83" s="349"/>
      <c r="BM83" s="349"/>
      <c r="BN83" s="349">
        <f t="shared" ref="BN83" si="62" xml:space="preserve"> COUNTIF(C84:BH84,"&lt;&gt;--")</f>
        <v>58</v>
      </c>
      <c r="BO83" s="351">
        <f t="shared" ref="BO83" si="63">BJ83/BN83</f>
        <v>0</v>
      </c>
    </row>
    <row r="84" spans="2:67" ht="15" customHeight="1" thickBot="1" x14ac:dyDescent="0.25">
      <c r="B84" s="246" t="str">
        <v/>
      </c>
      <c r="C84" s="239" t="str" cm="1">
        <f t="array" ref="C84:BH84">_xlfn.XLOOKUP(C82:BH82,'[1]111W_BUILDING MATRIX'!$B$8:$B$600,'[1]111W_BUILDING MATRIX'!$H$8:$H$600,"--")</f>
        <v>PROJ</v>
      </c>
      <c r="D84" s="239" t="str">
        <v>PROJ</v>
      </c>
      <c r="E84" s="239" t="str">
        <v>PROJ</v>
      </c>
      <c r="F84" s="239" t="str">
        <v>PROJ</v>
      </c>
      <c r="G84" s="239" t="str">
        <v>PROJ</v>
      </c>
      <c r="H84" s="239" t="str">
        <v>PROJ</v>
      </c>
      <c r="I84" s="239" t="str">
        <v>PROJ</v>
      </c>
      <c r="J84" s="239" t="str">
        <v>PROJ</v>
      </c>
      <c r="K84" s="239" t="str">
        <v>PROJ</v>
      </c>
      <c r="L84" s="239" t="str">
        <v>PROJ</v>
      </c>
      <c r="M84" s="239" t="str">
        <v>PROJ</v>
      </c>
      <c r="N84" s="239" t="str">
        <v>PROJ</v>
      </c>
      <c r="O84" s="239" t="str">
        <v>PROJ</v>
      </c>
      <c r="P84" s="239" t="str">
        <v>PROJ</v>
      </c>
      <c r="Q84" s="239" t="str">
        <v>PROJ</v>
      </c>
      <c r="R84" s="239" t="str">
        <v>PROJ</v>
      </c>
      <c r="S84" s="239" t="str">
        <v>PROJ</v>
      </c>
      <c r="T84" s="239" t="str">
        <v>PROJ</v>
      </c>
      <c r="U84" s="239" t="str">
        <v>PROJ</v>
      </c>
      <c r="V84" s="239" t="str">
        <v>PROJ</v>
      </c>
      <c r="W84" s="239" t="str">
        <v>PROJ</v>
      </c>
      <c r="X84" s="239" t="str">
        <v>PROJ</v>
      </c>
      <c r="Y84" s="239" t="str">
        <v>PROJ</v>
      </c>
      <c r="Z84" s="239" t="str">
        <v>PROJ</v>
      </c>
      <c r="AA84" s="239" t="str">
        <v>PROJ</v>
      </c>
      <c r="AB84" s="239" t="str">
        <v>PROJ</v>
      </c>
      <c r="AC84" s="239" t="str">
        <v>PROJ</v>
      </c>
      <c r="AD84" s="239" t="str">
        <v>PROJ</v>
      </c>
      <c r="AE84" s="239" t="str">
        <v>PROJ</v>
      </c>
      <c r="AF84" s="239" t="str">
        <v>PROJ</v>
      </c>
      <c r="AG84" s="239" t="str">
        <v>PROJ</v>
      </c>
      <c r="AH84" s="239" t="str">
        <v>PROJ</v>
      </c>
      <c r="AI84" s="239" t="str">
        <v>PROJ</v>
      </c>
      <c r="AJ84" s="239" t="str">
        <v>PROJ</v>
      </c>
      <c r="AK84" s="239" t="str">
        <v>PROJ</v>
      </c>
      <c r="AL84" s="239" t="str">
        <v>PROJ</v>
      </c>
      <c r="AM84" s="239" t="str">
        <v>PROJ</v>
      </c>
      <c r="AN84" s="239" t="str">
        <v>PROJ</v>
      </c>
      <c r="AO84" s="239" t="str">
        <v>PROJ</v>
      </c>
      <c r="AP84" s="239" t="str">
        <v>PROJ</v>
      </c>
      <c r="AQ84" s="239" t="str">
        <v>PROJ</v>
      </c>
      <c r="AR84" s="239" t="str">
        <v>PROJ</v>
      </c>
      <c r="AS84" s="239" t="str">
        <v>PROJ</v>
      </c>
      <c r="AT84" s="239" t="str">
        <v>PROJ</v>
      </c>
      <c r="AU84" s="239" t="str">
        <v>PROJ</v>
      </c>
      <c r="AV84" s="239" t="str">
        <v>PROJ</v>
      </c>
      <c r="AW84" s="239" t="str">
        <v>PROJ</v>
      </c>
      <c r="AX84" s="239" t="str">
        <v>PROJ</v>
      </c>
      <c r="AY84" s="239" t="str">
        <v>PROJ</v>
      </c>
      <c r="AZ84" s="239" t="str">
        <v>PROJ</v>
      </c>
      <c r="BA84" s="239" t="str">
        <v>PROJ</v>
      </c>
      <c r="BB84" s="239" t="str">
        <v>PROJ</v>
      </c>
      <c r="BC84" s="239" t="str">
        <v>PROJ</v>
      </c>
      <c r="BD84" s="239" t="str">
        <v>PROJ</v>
      </c>
      <c r="BE84" s="239" t="str">
        <v>PROJ</v>
      </c>
      <c r="BF84" s="239" t="str">
        <v>PROJ</v>
      </c>
      <c r="BG84" s="239" t="str">
        <v>PROJ</v>
      </c>
      <c r="BH84" s="239" t="str">
        <v>PROJ</v>
      </c>
      <c r="BJ84" s="348"/>
      <c r="BK84" s="350"/>
      <c r="BL84" s="350"/>
      <c r="BM84" s="350"/>
      <c r="BN84" s="350"/>
      <c r="BO84" s="352"/>
    </row>
    <row r="85" spans="2:67" ht="18" customHeight="1" x14ac:dyDescent="0.2">
      <c r="B85" s="245" t="str">
        <v/>
      </c>
      <c r="C85" s="241" cm="1">
        <f t="array" ref="C85:BH85">$B86*100+C$5:BH$5</f>
        <v>301</v>
      </c>
      <c r="D85" s="241">
        <v>302</v>
      </c>
      <c r="E85" s="241">
        <v>303</v>
      </c>
      <c r="F85" s="241">
        <v>304</v>
      </c>
      <c r="G85" s="241">
        <v>305</v>
      </c>
      <c r="H85" s="241">
        <v>306</v>
      </c>
      <c r="I85" s="241">
        <v>307</v>
      </c>
      <c r="J85" s="241">
        <v>308</v>
      </c>
      <c r="K85" s="241">
        <v>309</v>
      </c>
      <c r="L85" s="241">
        <v>310</v>
      </c>
      <c r="M85" s="241">
        <v>311</v>
      </c>
      <c r="N85" s="241">
        <v>312</v>
      </c>
      <c r="O85" s="241">
        <v>313</v>
      </c>
      <c r="P85" s="241">
        <v>314</v>
      </c>
      <c r="Q85" s="241">
        <v>315</v>
      </c>
      <c r="R85" s="241">
        <v>316</v>
      </c>
      <c r="S85" s="241">
        <v>317</v>
      </c>
      <c r="T85" s="241">
        <v>318</v>
      </c>
      <c r="U85" s="241">
        <v>319</v>
      </c>
      <c r="V85" s="241">
        <v>320</v>
      </c>
      <c r="W85" s="241">
        <v>321</v>
      </c>
      <c r="X85" s="241">
        <v>322</v>
      </c>
      <c r="Y85" s="241">
        <v>323</v>
      </c>
      <c r="Z85" s="241">
        <v>324</v>
      </c>
      <c r="AA85" s="241">
        <v>325</v>
      </c>
      <c r="AB85" s="241">
        <v>326</v>
      </c>
      <c r="AC85" s="241">
        <v>327</v>
      </c>
      <c r="AD85" s="241">
        <v>328</v>
      </c>
      <c r="AE85" s="241">
        <v>329</v>
      </c>
      <c r="AF85" s="241">
        <v>330</v>
      </c>
      <c r="AG85" s="241">
        <v>331</v>
      </c>
      <c r="AH85" s="241">
        <v>332</v>
      </c>
      <c r="AI85" s="241">
        <v>333</v>
      </c>
      <c r="AJ85" s="241">
        <v>334</v>
      </c>
      <c r="AK85" s="241">
        <v>335</v>
      </c>
      <c r="AL85" s="241">
        <v>336</v>
      </c>
      <c r="AM85" s="241">
        <v>337</v>
      </c>
      <c r="AN85" s="241">
        <v>338</v>
      </c>
      <c r="AO85" s="241">
        <v>339</v>
      </c>
      <c r="AP85" s="241">
        <v>340</v>
      </c>
      <c r="AQ85" s="241">
        <v>341</v>
      </c>
      <c r="AR85" s="241">
        <v>342</v>
      </c>
      <c r="AS85" s="241">
        <v>343</v>
      </c>
      <c r="AT85" s="241">
        <v>344</v>
      </c>
      <c r="AU85" s="241">
        <v>345</v>
      </c>
      <c r="AV85" s="241">
        <v>346</v>
      </c>
      <c r="AW85" s="241">
        <v>347</v>
      </c>
      <c r="AX85" s="241">
        <v>348</v>
      </c>
      <c r="AY85" s="241">
        <v>349</v>
      </c>
      <c r="AZ85" s="241">
        <v>350</v>
      </c>
      <c r="BA85" s="241">
        <v>351</v>
      </c>
      <c r="BB85" s="241">
        <v>352</v>
      </c>
      <c r="BC85" s="241">
        <v>353</v>
      </c>
      <c r="BD85" s="241">
        <v>354</v>
      </c>
      <c r="BE85" s="241">
        <v>355</v>
      </c>
      <c r="BF85" s="241">
        <v>356</v>
      </c>
      <c r="BG85" s="241">
        <v>357</v>
      </c>
      <c r="BH85" s="241">
        <v>358</v>
      </c>
      <c r="BJ85" s="302" t="str">
        <f t="shared" ref="BJ85" si="64">B86&amp;"rd FLOOR"</f>
        <v>3rd FLOOR</v>
      </c>
      <c r="BK85" s="303"/>
      <c r="BL85" s="303"/>
      <c r="BM85" s="303"/>
      <c r="BN85" s="303"/>
      <c r="BO85" s="304"/>
    </row>
    <row r="86" spans="2:67" ht="14.25" customHeight="1" x14ac:dyDescent="0.2">
      <c r="B86" s="246">
        <v>3</v>
      </c>
      <c r="C86" s="240" t="str" cm="1">
        <f t="array" ref="C86:BH86">_xlfn.XLOOKUP(C85:BH85,'[1]111W_BUILDING MATRIX'!$B$8:$B$600,'[1]111W_BUILDING MATRIX'!$E$8:$E$600,"--")</f>
        <v>A01-K24-A</v>
      </c>
      <c r="D86" s="240" t="str">
        <v>A02-K24</v>
      </c>
      <c r="E86" s="240" t="str">
        <v>A03-K24-A</v>
      </c>
      <c r="F86" s="240" t="str">
        <v>A03-K24-M</v>
      </c>
      <c r="G86" s="240" t="str">
        <v>A03-K24-M</v>
      </c>
      <c r="H86" s="240" t="str">
        <v>A07-K24</v>
      </c>
      <c r="I86" s="240" t="str">
        <v>A03-K24</v>
      </c>
      <c r="J86" s="240" t="str">
        <v>C4-K24</v>
      </c>
      <c r="K86" s="240" t="str">
        <v>A03-K24</v>
      </c>
      <c r="L86" s="240" t="str">
        <v>A03-K24-M</v>
      </c>
      <c r="M86" s="240" t="str">
        <v>A03-K24-M</v>
      </c>
      <c r="N86" s="240" t="str">
        <v>A02-K24</v>
      </c>
      <c r="O86" s="240" t="str">
        <v>C1-K30</v>
      </c>
      <c r="P86" s="240" t="str">
        <v>--</v>
      </c>
      <c r="Q86" s="240" t="str">
        <v>A04-K24</v>
      </c>
      <c r="R86" s="240" t="str">
        <v>A01-K24-M</v>
      </c>
      <c r="S86" s="240" t="str">
        <v>A05-K30</v>
      </c>
      <c r="T86" s="240" t="str">
        <v>A02-K24-A</v>
      </c>
      <c r="U86" s="240" t="str">
        <v>A03-K24-M</v>
      </c>
      <c r="V86" s="240" t="str">
        <v>A02-K24-AM</v>
      </c>
      <c r="W86" s="240" t="str">
        <v>A06-K24-AM</v>
      </c>
      <c r="X86" s="240" t="str">
        <v>A02-K24-M</v>
      </c>
      <c r="Y86" s="240" t="str">
        <v>A03-K24-AM</v>
      </c>
      <c r="Z86" s="240" t="str">
        <v>A07-K24</v>
      </c>
      <c r="AA86" s="240" t="str">
        <v>B02L-K24</v>
      </c>
      <c r="AB86" s="240" t="str">
        <v>B03L-K24-A</v>
      </c>
      <c r="AC86" s="240" t="str">
        <v>B04L-K24-A</v>
      </c>
      <c r="AD86" s="240" t="str">
        <v>A07-K24-A</v>
      </c>
      <c r="AE86" s="240" t="str">
        <v>A07-K24-AM</v>
      </c>
      <c r="AF86" s="240" t="str">
        <v>A09-K24-M</v>
      </c>
      <c r="AG86" s="240" t="str">
        <v>C2-K30</v>
      </c>
      <c r="AH86" s="240" t="str">
        <v>C3-K30-A</v>
      </c>
      <c r="AI86" s="240" t="str">
        <v>B01L-K30</v>
      </c>
      <c r="AJ86" s="240" t="str">
        <v>--</v>
      </c>
      <c r="AK86" s="240" t="str">
        <v>A02-K24</v>
      </c>
      <c r="AL86" s="240" t="str">
        <v>A03-K24</v>
      </c>
      <c r="AM86" s="240" t="str">
        <v>A07-K24-M</v>
      </c>
      <c r="AN86" s="240" t="str">
        <v>A07-K24</v>
      </c>
      <c r="AO86" s="240" t="str">
        <v>A10-K30</v>
      </c>
      <c r="AP86" s="240" t="str">
        <v>A01-K24-M</v>
      </c>
      <c r="AQ86" s="240" t="str">
        <v>A04-K24</v>
      </c>
      <c r="AR86" s="240" t="str">
        <v>A03-K24-M</v>
      </c>
      <c r="AS86" s="240" t="str">
        <v>B06L-K24</v>
      </c>
      <c r="AT86" s="240" t="str">
        <v>A03-K24-M</v>
      </c>
      <c r="AU86" s="240" t="str">
        <v>A03-K24-M</v>
      </c>
      <c r="AV86" s="240" t="str">
        <v>A03-K24-M</v>
      </c>
      <c r="AW86" s="240" t="str">
        <v>A03-K24-M</v>
      </c>
      <c r="AX86" s="240" t="str">
        <v>A02-K24</v>
      </c>
      <c r="AY86" s="240" t="str">
        <v>A07-K24-A</v>
      </c>
      <c r="AZ86" s="240" t="str">
        <v>A07-K24</v>
      </c>
      <c r="BA86" s="240" t="str">
        <v>A03-K24-A</v>
      </c>
      <c r="BB86" s="240" t="str">
        <v>A02-K24-A</v>
      </c>
      <c r="BC86" s="240" t="str">
        <v>A07-K24-M</v>
      </c>
      <c r="BD86" s="240" t="str">
        <v>A11-K30</v>
      </c>
      <c r="BE86" s="240" t="str">
        <v>--</v>
      </c>
      <c r="BF86" s="240" t="str">
        <v>B02L-K24</v>
      </c>
      <c r="BG86" s="240" t="str">
        <v>A03-K24-M</v>
      </c>
      <c r="BH86" s="240" t="str">
        <v>B12L-K24</v>
      </c>
      <c r="BJ86" s="347">
        <f t="shared" ref="BJ86" si="65">COUNTIF(C87:BH87, "D")</f>
        <v>0</v>
      </c>
      <c r="BK86" s="349" t="s">
        <v>16</v>
      </c>
      <c r="BL86" s="349"/>
      <c r="BM86" s="349"/>
      <c r="BN86" s="349">
        <f t="shared" ref="BN86" si="66" xml:space="preserve"> COUNTIF(C87:BH87,"&lt;&gt;--")</f>
        <v>55</v>
      </c>
      <c r="BO86" s="351">
        <f t="shared" ref="BO86" si="67">BJ86/BN86</f>
        <v>0</v>
      </c>
    </row>
    <row r="87" spans="2:67" ht="15" customHeight="1" thickBot="1" x14ac:dyDescent="0.25">
      <c r="B87" s="247"/>
      <c r="C87" s="239" t="str" cm="1">
        <f t="array" ref="C87:BH87">_xlfn.XLOOKUP(C85:BH85,'[1]111W_BUILDING MATRIX'!$B$8:$B$600,'[1]111W_BUILDING MATRIX'!$H$8:$H$600,"--")</f>
        <v>PROJ</v>
      </c>
      <c r="D87" s="239" t="str">
        <v>PROJ</v>
      </c>
      <c r="E87" s="239" t="str">
        <v>PROJ</v>
      </c>
      <c r="F87" s="239" t="str">
        <v>PROJ</v>
      </c>
      <c r="G87" s="239" t="str">
        <v>PROJ</v>
      </c>
      <c r="H87" s="239" t="str">
        <v>PROJ</v>
      </c>
      <c r="I87" s="239" t="str">
        <v>PROJ</v>
      </c>
      <c r="J87" s="239" t="str">
        <v>PROJ</v>
      </c>
      <c r="K87" s="239" t="str">
        <v>PROJ</v>
      </c>
      <c r="L87" s="239" t="str">
        <v>PROJ</v>
      </c>
      <c r="M87" s="239" t="str">
        <v>PROJ</v>
      </c>
      <c r="N87" s="239" t="str">
        <v>PROJ</v>
      </c>
      <c r="O87" s="239" t="str">
        <v>PROJ</v>
      </c>
      <c r="P87" s="239" t="str">
        <v>--</v>
      </c>
      <c r="Q87" s="239" t="str">
        <v>PROJ</v>
      </c>
      <c r="R87" s="239" t="str">
        <v>PROJ</v>
      </c>
      <c r="S87" s="239" t="str">
        <v>PROJ</v>
      </c>
      <c r="T87" s="239" t="str">
        <v>PROJ</v>
      </c>
      <c r="U87" s="239" t="str">
        <v>PROJ</v>
      </c>
      <c r="V87" s="239" t="str">
        <v>PROJ</v>
      </c>
      <c r="W87" s="239" t="str">
        <v>PROJ</v>
      </c>
      <c r="X87" s="239" t="str">
        <v>PROJ</v>
      </c>
      <c r="Y87" s="239" t="str">
        <v>PROJ</v>
      </c>
      <c r="Z87" s="239" t="str">
        <v>PROJ</v>
      </c>
      <c r="AA87" s="239" t="str">
        <v>PROJ</v>
      </c>
      <c r="AB87" s="239" t="str">
        <v>PROJ</v>
      </c>
      <c r="AC87" s="239" t="str">
        <v>PROJ</v>
      </c>
      <c r="AD87" s="239" t="str">
        <v>PROJ</v>
      </c>
      <c r="AE87" s="239" t="str">
        <v>PROJ</v>
      </c>
      <c r="AF87" s="239" t="str">
        <v>PROJ</v>
      </c>
      <c r="AG87" s="239" t="str">
        <v>PROJ</v>
      </c>
      <c r="AH87" s="239" t="str">
        <v>PROJ</v>
      </c>
      <c r="AI87" s="239" t="str">
        <v>PROJ</v>
      </c>
      <c r="AJ87" s="239" t="str">
        <v>--</v>
      </c>
      <c r="AK87" s="239" t="str">
        <v>PROJ</v>
      </c>
      <c r="AL87" s="239" t="str">
        <v>PROJ</v>
      </c>
      <c r="AM87" s="239" t="str">
        <v>PROJ</v>
      </c>
      <c r="AN87" s="239" t="str">
        <v>PROJ</v>
      </c>
      <c r="AO87" s="239" t="str">
        <v>PROJ</v>
      </c>
      <c r="AP87" s="239" t="str">
        <v>PROJ</v>
      </c>
      <c r="AQ87" s="239" t="str">
        <v>PROJ</v>
      </c>
      <c r="AR87" s="239" t="str">
        <v>PROJ</v>
      </c>
      <c r="AS87" s="239" t="str">
        <v>PROJ</v>
      </c>
      <c r="AT87" s="239" t="str">
        <v>PROJ</v>
      </c>
      <c r="AU87" s="239" t="str">
        <v>PROJ</v>
      </c>
      <c r="AV87" s="239" t="str">
        <v>PROJ</v>
      </c>
      <c r="AW87" s="239" t="str">
        <v>PROJ</v>
      </c>
      <c r="AX87" s="239" t="str">
        <v>PROJ</v>
      </c>
      <c r="AY87" s="239" t="str">
        <v>PROJ</v>
      </c>
      <c r="AZ87" s="239" t="str">
        <v>PROJ</v>
      </c>
      <c r="BA87" s="239" t="str">
        <v>PROJ</v>
      </c>
      <c r="BB87" s="239" t="str">
        <v>PROJ</v>
      </c>
      <c r="BC87" s="239" t="str">
        <v>PROJ</v>
      </c>
      <c r="BD87" s="239" t="str">
        <v>PROJ</v>
      </c>
      <c r="BE87" s="239" t="str">
        <v>--</v>
      </c>
      <c r="BF87" s="239" t="str">
        <v>PROJ</v>
      </c>
      <c r="BG87" s="239" t="str">
        <v>PROJ</v>
      </c>
      <c r="BH87" s="239" t="str">
        <v>PROJ</v>
      </c>
      <c r="BJ87" s="348"/>
      <c r="BK87" s="350"/>
      <c r="BL87" s="350"/>
      <c r="BM87" s="350"/>
      <c r="BN87" s="350"/>
      <c r="BO87" s="352"/>
    </row>
    <row r="88" spans="2:67" ht="54" customHeight="1" x14ac:dyDescent="0.2">
      <c r="B88" s="242"/>
      <c r="C88" s="242"/>
      <c r="D88" s="242"/>
      <c r="E88" s="242"/>
      <c r="F88" s="242"/>
      <c r="G88" s="242"/>
      <c r="H88" s="242"/>
      <c r="I88" s="242"/>
      <c r="J88" s="242"/>
      <c r="K88" s="242"/>
      <c r="L88" s="242"/>
      <c r="M88" s="242"/>
      <c r="N88" s="242"/>
      <c r="O88" s="242"/>
      <c r="P88" s="242"/>
      <c r="Q88" s="242"/>
      <c r="R88" s="242"/>
      <c r="S88" s="242"/>
      <c r="T88" s="242"/>
      <c r="U88" s="242"/>
      <c r="V88" s="242"/>
      <c r="W88" s="242"/>
      <c r="X88" s="242"/>
      <c r="Y88" s="242"/>
      <c r="Z88" s="242"/>
      <c r="AA88" s="242"/>
      <c r="AB88" s="242"/>
      <c r="AC88" s="242"/>
      <c r="AD88" s="242"/>
      <c r="AE88" s="242"/>
      <c r="AF88" s="242"/>
      <c r="AG88" s="242"/>
      <c r="AH88" s="242"/>
      <c r="AI88" s="242"/>
      <c r="AJ88" s="242"/>
      <c r="AK88" s="242"/>
      <c r="AL88" s="242"/>
      <c r="AM88" s="242"/>
      <c r="AN88" s="242"/>
      <c r="AO88" s="242"/>
      <c r="AP88" s="242"/>
      <c r="AQ88" s="242"/>
      <c r="AR88" s="242"/>
      <c r="AS88" s="242"/>
      <c r="AT88" s="242"/>
      <c r="AU88" s="242"/>
      <c r="AV88" s="242"/>
      <c r="AW88" s="242"/>
      <c r="AX88" s="242"/>
      <c r="AY88" s="242"/>
      <c r="AZ88" s="242"/>
      <c r="BA88" s="242"/>
      <c r="BB88" s="242"/>
      <c r="BC88" s="242"/>
      <c r="BD88" s="242"/>
      <c r="BE88" s="242"/>
      <c r="BF88" s="242"/>
      <c r="BG88" s="242"/>
      <c r="BH88" s="242"/>
      <c r="BJ88" s="242"/>
      <c r="BK88" s="242"/>
      <c r="BL88" s="242"/>
      <c r="BM88" s="242"/>
      <c r="BN88" s="242"/>
      <c r="BO88" s="242"/>
    </row>
  </sheetData>
  <mergeCells count="109">
    <mergeCell ref="BJ14:BJ15"/>
    <mergeCell ref="BK14:BM15"/>
    <mergeCell ref="BN14:BN15"/>
    <mergeCell ref="BO14:BO15"/>
    <mergeCell ref="BJ17:BJ18"/>
    <mergeCell ref="BK17:BM18"/>
    <mergeCell ref="BN17:BN18"/>
    <mergeCell ref="BO17:BO18"/>
    <mergeCell ref="M3:O3"/>
    <mergeCell ref="BJ8:BJ9"/>
    <mergeCell ref="BK8:BM9"/>
    <mergeCell ref="BN8:BN9"/>
    <mergeCell ref="BO8:BO9"/>
    <mergeCell ref="BJ11:BJ12"/>
    <mergeCell ref="BK11:BM12"/>
    <mergeCell ref="BN11:BN12"/>
    <mergeCell ref="BO11:BO12"/>
    <mergeCell ref="BJ26:BJ27"/>
    <mergeCell ref="BK26:BM27"/>
    <mergeCell ref="BN26:BN27"/>
    <mergeCell ref="BO26:BO27"/>
    <mergeCell ref="BJ29:BJ30"/>
    <mergeCell ref="BK29:BM30"/>
    <mergeCell ref="BN29:BN30"/>
    <mergeCell ref="BO29:BO30"/>
    <mergeCell ref="BJ20:BJ21"/>
    <mergeCell ref="BK20:BM21"/>
    <mergeCell ref="BN20:BN21"/>
    <mergeCell ref="BO20:BO21"/>
    <mergeCell ref="BJ23:BJ24"/>
    <mergeCell ref="BK23:BM24"/>
    <mergeCell ref="BN23:BN24"/>
    <mergeCell ref="BO23:BO24"/>
    <mergeCell ref="BJ38:BJ39"/>
    <mergeCell ref="BK38:BM39"/>
    <mergeCell ref="BN38:BN39"/>
    <mergeCell ref="BO38:BO39"/>
    <mergeCell ref="BJ41:BJ42"/>
    <mergeCell ref="BK41:BM42"/>
    <mergeCell ref="BN41:BN42"/>
    <mergeCell ref="BO41:BO42"/>
    <mergeCell ref="BJ32:BJ33"/>
    <mergeCell ref="BK32:BM33"/>
    <mergeCell ref="BN32:BN33"/>
    <mergeCell ref="BO32:BO33"/>
    <mergeCell ref="BJ35:BJ36"/>
    <mergeCell ref="BK35:BM36"/>
    <mergeCell ref="BN35:BN36"/>
    <mergeCell ref="BO35:BO36"/>
    <mergeCell ref="BJ50:BJ51"/>
    <mergeCell ref="BK50:BM51"/>
    <mergeCell ref="BN50:BN51"/>
    <mergeCell ref="BO50:BO51"/>
    <mergeCell ref="BJ53:BJ54"/>
    <mergeCell ref="BK53:BM54"/>
    <mergeCell ref="BN53:BN54"/>
    <mergeCell ref="BO53:BO54"/>
    <mergeCell ref="BJ44:BJ45"/>
    <mergeCell ref="BK44:BM45"/>
    <mergeCell ref="BN44:BN45"/>
    <mergeCell ref="BO44:BO45"/>
    <mergeCell ref="BJ47:BJ48"/>
    <mergeCell ref="BK47:BM48"/>
    <mergeCell ref="BN47:BN48"/>
    <mergeCell ref="BO47:BO48"/>
    <mergeCell ref="BJ62:BJ63"/>
    <mergeCell ref="BK62:BM63"/>
    <mergeCell ref="BN62:BN63"/>
    <mergeCell ref="BO62:BO63"/>
    <mergeCell ref="BJ65:BJ66"/>
    <mergeCell ref="BK65:BM66"/>
    <mergeCell ref="BN65:BN66"/>
    <mergeCell ref="BO65:BO66"/>
    <mergeCell ref="BJ56:BJ57"/>
    <mergeCell ref="BK56:BM57"/>
    <mergeCell ref="BN56:BN57"/>
    <mergeCell ref="BO56:BO57"/>
    <mergeCell ref="BJ59:BJ60"/>
    <mergeCell ref="BK59:BM60"/>
    <mergeCell ref="BN59:BN60"/>
    <mergeCell ref="BO59:BO60"/>
    <mergeCell ref="BJ74:BJ75"/>
    <mergeCell ref="BK74:BM75"/>
    <mergeCell ref="BN74:BN75"/>
    <mergeCell ref="BO74:BO75"/>
    <mergeCell ref="BJ77:BJ78"/>
    <mergeCell ref="BK77:BM78"/>
    <mergeCell ref="BN77:BN78"/>
    <mergeCell ref="BO77:BO78"/>
    <mergeCell ref="BJ68:BJ69"/>
    <mergeCell ref="BK68:BM69"/>
    <mergeCell ref="BN68:BN69"/>
    <mergeCell ref="BO68:BO69"/>
    <mergeCell ref="BJ71:BJ72"/>
    <mergeCell ref="BK71:BM72"/>
    <mergeCell ref="BN71:BN72"/>
    <mergeCell ref="BO71:BO72"/>
    <mergeCell ref="BJ86:BJ87"/>
    <mergeCell ref="BK86:BM87"/>
    <mergeCell ref="BN86:BN87"/>
    <mergeCell ref="BO86:BO87"/>
    <mergeCell ref="BJ80:BJ81"/>
    <mergeCell ref="BK80:BM81"/>
    <mergeCell ref="BN80:BN81"/>
    <mergeCell ref="BO80:BO81"/>
    <mergeCell ref="BJ83:BJ84"/>
    <mergeCell ref="BK83:BM84"/>
    <mergeCell ref="BN83:BN84"/>
    <mergeCell ref="BO83:BO84"/>
  </mergeCells>
  <conditionalFormatting sqref="C7:BH87">
    <cfRule type="expression" dxfId="58" priority="1">
      <formula>C7="D"</formula>
    </cfRule>
    <cfRule type="expression" dxfId="57" priority="2">
      <formula>C7="INPRT"</formula>
    </cfRule>
    <cfRule type="expression" dxfId="56" priority="3">
      <formula>C7="ENR"</formula>
    </cfRule>
    <cfRule type="expression" dxfId="55" priority="4">
      <formula>C7="LDD"</formula>
    </cfRule>
    <cfRule type="expression" dxfId="54" priority="5">
      <formula>C7="LDG"</formula>
    </cfRule>
    <cfRule type="expression" dxfId="53" priority="6">
      <formula>C7="PROJ"</formula>
    </cfRule>
    <cfRule type="expression" dxfId="52" priority="7">
      <formula>C7="--"</formula>
    </cfRule>
  </conditionalFormatting>
  <dataValidations count="1">
    <dataValidation type="list" allowBlank="1" showInputMessage="1" showErrorMessage="1" promptTitle="Matrix order" prompt="Top-Down: 29 → 3 | Bottom-Up: 3 → 29" sqref="M3" xr:uid="{D66684E6-3B35-4A07-9B8E-E0E1C41AD04C}">
      <formula1>"Top-Down,Bottom-Up"</formula1>
    </dataValidation>
  </dataValidations>
  <pageMargins left="0.7" right="0.7" top="0.75" bottom="0.75" header="0.3" footer="0.3"/>
  <pageSetup paperSize="3" scale="2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35B91-CCA9-4272-93A7-6D2E16670B83}">
  <sheetPr>
    <tabColor theme="4" tint="-0.249977111117893"/>
    <pageSetUpPr fitToPage="1"/>
  </sheetPr>
  <dimension ref="A2:BY67"/>
  <sheetViews>
    <sheetView topLeftCell="A28" zoomScale="85" zoomScaleNormal="85" workbookViewId="0">
      <selection activeCell="P8" sqref="P8"/>
    </sheetView>
  </sheetViews>
  <sheetFormatPr defaultColWidth="9.21875" defaultRowHeight="15" x14ac:dyDescent="0.2"/>
  <cols>
    <col min="1" max="1" width="2.44140625" style="2" customWidth="1"/>
    <col min="2" max="2" width="2.6640625" style="2" customWidth="1"/>
    <col min="3" max="3" width="4.6640625" style="2" customWidth="1"/>
    <col min="4" max="4" width="8.109375" style="2" customWidth="1"/>
    <col min="5" max="5" width="6.6640625" style="76" customWidth="1"/>
    <col min="6" max="6" width="3.6640625" style="76" customWidth="1"/>
    <col min="7" max="7" width="11.88671875" style="2" customWidth="1"/>
    <col min="8" max="8" width="5.33203125" style="77" customWidth="1"/>
    <col min="9" max="9" width="21.44140625" style="78" customWidth="1"/>
    <col min="10" max="10" width="4.109375" style="79" customWidth="1"/>
    <col min="11" max="11" width="3.77734375" style="80" hidden="1" customWidth="1"/>
    <col min="12" max="12" width="16.109375" style="2" customWidth="1"/>
    <col min="13" max="13" width="14.88671875" style="2" customWidth="1"/>
    <col min="14" max="14" width="21.109375" style="2" customWidth="1"/>
    <col min="15" max="15" width="3.77734375" style="2" hidden="1" customWidth="1"/>
    <col min="16" max="16" width="12.33203125" style="77" customWidth="1"/>
    <col min="17" max="17" width="3.44140625" style="2" customWidth="1"/>
    <col min="18" max="18" width="3.77734375" style="2" hidden="1" customWidth="1"/>
    <col min="19" max="19" width="12.33203125" style="77" customWidth="1"/>
    <col min="20" max="20" width="17.6640625" style="2" customWidth="1"/>
    <col min="21" max="21" width="4.109375" style="2" customWidth="1"/>
    <col min="22" max="22" width="3.77734375" style="2" hidden="1" customWidth="1"/>
    <col min="23" max="23" width="12.33203125" style="77" customWidth="1"/>
    <col min="24" max="24" width="3.77734375" style="2" customWidth="1"/>
    <col min="25" max="26" width="3.77734375" style="2" hidden="1" customWidth="1"/>
    <col min="27" max="27" width="12.33203125" style="77" customWidth="1"/>
    <col min="28" max="28" width="4.77734375" style="77" customWidth="1"/>
    <col min="29" max="29" width="12.33203125" style="2" customWidth="1"/>
    <col min="30" max="30" width="5.44140625" style="2" customWidth="1"/>
    <col min="31" max="31" width="3.77734375" style="2" hidden="1" customWidth="1"/>
    <col min="32" max="32" width="6.5546875" style="2" customWidth="1"/>
    <col min="33" max="33" width="3.77734375" style="2" hidden="1" customWidth="1"/>
    <col min="34" max="34" width="12.33203125" style="2" customWidth="1"/>
    <col min="35" max="35" width="8.77734375" style="2" customWidth="1"/>
    <col min="36" max="36" width="6.6640625" style="2" customWidth="1"/>
    <col min="37" max="37" width="28.33203125" style="2" customWidth="1"/>
    <col min="38" max="38" width="16.44140625" style="2" customWidth="1"/>
    <col min="39" max="16384" width="9.21875" style="2"/>
  </cols>
  <sheetData>
    <row r="2" spans="1:77" ht="33" customHeight="1" x14ac:dyDescent="0.2">
      <c r="A2" s="74"/>
      <c r="C2" s="75" t="s">
        <v>17</v>
      </c>
      <c r="D2" s="1"/>
      <c r="L2" s="81"/>
      <c r="AL2" s="82" t="str">
        <f ca="1">"WEEK " &amp; WEEKNUM( TODAY(), 21)</f>
        <v>WEEK 29</v>
      </c>
    </row>
    <row r="3" spans="1:77" ht="15" customHeight="1" x14ac:dyDescent="0.2">
      <c r="A3" s="356"/>
      <c r="C3" s="83" t="s">
        <v>18</v>
      </c>
      <c r="D3" s="83"/>
      <c r="E3" s="84"/>
      <c r="F3" s="84"/>
      <c r="G3" s="85"/>
      <c r="H3" s="86"/>
      <c r="I3" s="87"/>
      <c r="J3" s="88"/>
      <c r="K3" s="89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</row>
    <row r="4" spans="1:77" ht="15" customHeight="1" x14ac:dyDescent="0.2">
      <c r="A4" s="356"/>
      <c r="O4" s="90"/>
      <c r="R4" s="90"/>
      <c r="U4" s="90"/>
      <c r="V4" s="90"/>
      <c r="Y4" s="90"/>
      <c r="Z4" s="90"/>
      <c r="AE4" s="90"/>
      <c r="AF4" s="90"/>
      <c r="AG4" s="90"/>
    </row>
    <row r="5" spans="1:77" ht="22.9" customHeight="1" x14ac:dyDescent="0.2">
      <c r="C5" s="91" t="s">
        <v>19</v>
      </c>
      <c r="D5" s="92"/>
      <c r="E5" s="92"/>
      <c r="F5" s="92"/>
      <c r="G5" s="92"/>
      <c r="H5" s="92"/>
      <c r="I5" s="92"/>
      <c r="J5" s="93"/>
      <c r="K5" s="91"/>
      <c r="L5" s="91" t="s">
        <v>20</v>
      </c>
      <c r="M5" s="94"/>
      <c r="N5" s="94"/>
      <c r="O5" s="357"/>
      <c r="P5" s="357"/>
      <c r="Q5" s="95"/>
      <c r="R5" s="96"/>
      <c r="S5" s="96" t="s">
        <v>21</v>
      </c>
      <c r="T5" s="97"/>
      <c r="U5" s="95"/>
      <c r="V5" s="97"/>
      <c r="W5" s="97" t="s">
        <v>22</v>
      </c>
      <c r="X5" s="95"/>
      <c r="Z5" s="97"/>
      <c r="AA5" s="91" t="s">
        <v>23</v>
      </c>
      <c r="AB5" s="94"/>
      <c r="AC5" s="94"/>
      <c r="AD5" s="94"/>
      <c r="AE5" s="91" t="s">
        <v>24</v>
      </c>
      <c r="AF5" s="94"/>
      <c r="AG5" s="94"/>
      <c r="AH5" s="91" t="s">
        <v>24</v>
      </c>
      <c r="AI5" s="94"/>
      <c r="AJ5" s="98"/>
      <c r="AK5" s="99"/>
      <c r="AL5" s="99"/>
    </row>
    <row r="6" spans="1:77" ht="103.5" customHeight="1" x14ac:dyDescent="0.2">
      <c r="A6" s="100"/>
      <c r="C6" s="101" t="s">
        <v>25</v>
      </c>
      <c r="D6" s="102" t="s">
        <v>26</v>
      </c>
      <c r="E6" s="103" t="s">
        <v>27</v>
      </c>
      <c r="F6" s="104" t="s">
        <v>28</v>
      </c>
      <c r="G6" s="105" t="s">
        <v>29</v>
      </c>
      <c r="H6" s="106" t="s">
        <v>30</v>
      </c>
      <c r="I6" s="107" t="s">
        <v>1</v>
      </c>
      <c r="J6" s="108" t="s">
        <v>31</v>
      </c>
      <c r="K6" s="109" t="s">
        <v>32</v>
      </c>
      <c r="L6" s="110" t="s">
        <v>33</v>
      </c>
      <c r="M6" s="110" t="s">
        <v>34</v>
      </c>
      <c r="N6" s="111" t="s">
        <v>35</v>
      </c>
      <c r="O6" s="109" t="s">
        <v>36</v>
      </c>
      <c r="P6" s="112" t="s">
        <v>37</v>
      </c>
      <c r="Q6" s="113" t="s">
        <v>38</v>
      </c>
      <c r="R6" s="114" t="s">
        <v>39</v>
      </c>
      <c r="S6" s="115" t="s">
        <v>40</v>
      </c>
      <c r="T6" s="116" t="s">
        <v>41</v>
      </c>
      <c r="U6" s="117" t="s">
        <v>42</v>
      </c>
      <c r="V6" s="118" t="s">
        <v>43</v>
      </c>
      <c r="W6" s="115" t="s">
        <v>44</v>
      </c>
      <c r="X6" s="117" t="s">
        <v>45</v>
      </c>
      <c r="Y6" s="109" t="s">
        <v>46</v>
      </c>
      <c r="Z6" s="119" t="s">
        <v>47</v>
      </c>
      <c r="AA6" s="358" t="s">
        <v>48</v>
      </c>
      <c r="AB6" s="359"/>
      <c r="AC6" s="120" t="s">
        <v>49</v>
      </c>
      <c r="AD6" s="102" t="s">
        <v>50</v>
      </c>
      <c r="AE6" s="109" t="s">
        <v>51</v>
      </c>
      <c r="AF6" s="109" t="s">
        <v>52</v>
      </c>
      <c r="AG6" s="109" t="s">
        <v>53</v>
      </c>
      <c r="AH6" s="121" t="s">
        <v>54</v>
      </c>
      <c r="AI6" s="122" t="s">
        <v>55</v>
      </c>
      <c r="AJ6" s="122" t="s">
        <v>56</v>
      </c>
      <c r="AK6" s="123" t="s">
        <v>57</v>
      </c>
      <c r="AL6" s="123" t="s">
        <v>58</v>
      </c>
      <c r="AP6" s="306"/>
    </row>
    <row r="7" spans="1:77" ht="9" customHeight="1" x14ac:dyDescent="0.2">
      <c r="C7" s="124"/>
      <c r="D7" s="124"/>
      <c r="E7" s="125"/>
      <c r="F7" s="125"/>
      <c r="G7" s="126"/>
      <c r="H7" s="127"/>
      <c r="I7" s="128"/>
      <c r="J7" s="129"/>
      <c r="K7" s="126"/>
      <c r="L7" s="126"/>
      <c r="M7" s="124"/>
      <c r="N7" s="124"/>
      <c r="O7" s="124"/>
      <c r="P7" s="131"/>
      <c r="Q7" s="124"/>
      <c r="R7" s="124"/>
      <c r="S7" s="131"/>
      <c r="T7" s="124"/>
      <c r="U7" s="130"/>
      <c r="V7" s="124"/>
      <c r="W7" s="131"/>
      <c r="X7" s="124"/>
      <c r="Y7" s="124"/>
      <c r="Z7" s="124"/>
      <c r="AA7" s="131"/>
      <c r="AB7" s="131"/>
      <c r="AC7" s="124"/>
      <c r="AD7" s="124"/>
      <c r="AE7" s="124"/>
      <c r="AF7" s="124"/>
      <c r="AG7" s="124"/>
      <c r="AH7" s="124"/>
      <c r="AI7" s="124"/>
      <c r="AJ7" s="124"/>
      <c r="AK7" s="124"/>
      <c r="AL7" s="124"/>
    </row>
    <row r="8" spans="1:77" ht="27" customHeight="1" x14ac:dyDescent="0.2">
      <c r="C8" s="305" cm="1">
        <f t="array" ref="C8:AL42">'[1]111 Wall_Logistics Schedule'!$C$8:$AL$42</f>
        <v>9</v>
      </c>
      <c r="D8" s="141" t="str">
        <v>PROJ</v>
      </c>
      <c r="E8" s="142">
        <v>1</v>
      </c>
      <c r="F8" s="143">
        <v>32</v>
      </c>
      <c r="G8" s="144" t="str">
        <v>Wk 32</v>
      </c>
      <c r="H8" s="145" t="str">
        <v>3</v>
      </c>
      <c r="I8" s="146" t="str">
        <v>301:313,315:321</v>
      </c>
      <c r="J8" s="137">
        <v>20</v>
      </c>
      <c r="K8" s="154" t="b">
        <v>0</v>
      </c>
      <c r="L8" s="132" t="str">
        <v>--</v>
      </c>
      <c r="M8" s="132" t="str">
        <v>--</v>
      </c>
      <c r="N8" s="132" t="str">
        <v>(08/03/26-08/09/26)</v>
      </c>
      <c r="O8" s="154" t="b">
        <v>0</v>
      </c>
      <c r="P8" s="147">
        <v>46240</v>
      </c>
      <c r="Q8" s="138">
        <v>5</v>
      </c>
      <c r="R8" s="154" t="b">
        <v>0</v>
      </c>
      <c r="S8" s="147">
        <v>46245</v>
      </c>
      <c r="T8" s="132" t="str">
        <v>--</v>
      </c>
      <c r="U8" s="138">
        <v>20</v>
      </c>
      <c r="V8" s="154" t="b">
        <v>0</v>
      </c>
      <c r="W8" s="147">
        <v>46265</v>
      </c>
      <c r="X8" s="138">
        <v>5</v>
      </c>
      <c r="Y8" s="154" t="b">
        <v>0</v>
      </c>
      <c r="Z8" s="154" t="b">
        <v>0</v>
      </c>
      <c r="AA8" s="147">
        <v>46270</v>
      </c>
      <c r="AB8" s="148" t="str">
        <v>Sat</v>
      </c>
      <c r="AC8" s="149" t="str">
        <v>--</v>
      </c>
      <c r="AD8" s="132" t="str">
        <v>--</v>
      </c>
      <c r="AE8" s="154" t="b">
        <v>0</v>
      </c>
      <c r="AF8" s="228" t="b">
        <v>0</v>
      </c>
      <c r="AG8" s="154" t="b">
        <v>0</v>
      </c>
      <c r="AH8" s="139">
        <v>46272</v>
      </c>
      <c r="AI8" s="150" t="str">
        <v>-2 days</v>
      </c>
      <c r="AJ8" s="138">
        <v>-2</v>
      </c>
      <c r="AK8" s="151">
        <v>30</v>
      </c>
      <c r="AL8" s="152" t="str">
        <v>--</v>
      </c>
      <c r="AP8" s="306" t="s">
        <v>103</v>
      </c>
    </row>
    <row r="9" spans="1:77" ht="27" customHeight="1" x14ac:dyDescent="0.2">
      <c r="C9" s="140">
        <v>9</v>
      </c>
      <c r="D9" s="141" t="str">
        <v>PROJ</v>
      </c>
      <c r="E9" s="142">
        <v>2</v>
      </c>
      <c r="F9" s="143">
        <v>32</v>
      </c>
      <c r="G9" s="144" t="str">
        <v>Wk 32</v>
      </c>
      <c r="H9" s="145" t="str">
        <v>3</v>
      </c>
      <c r="I9" s="146" t="str">
        <v>322:333,335:342</v>
      </c>
      <c r="J9" s="137">
        <v>20</v>
      </c>
      <c r="K9" s="154" t="b">
        <v>0</v>
      </c>
      <c r="L9" s="132" t="str">
        <v>--</v>
      </c>
      <c r="M9" s="132" t="str">
        <v>--</v>
      </c>
      <c r="N9" s="132" t="str">
        <v>(08/03/26-08/09/26)</v>
      </c>
      <c r="O9" s="154" t="b">
        <v>0</v>
      </c>
      <c r="P9" s="147">
        <v>46240</v>
      </c>
      <c r="Q9" s="138">
        <v>5</v>
      </c>
      <c r="R9" s="154" t="b">
        <v>0</v>
      </c>
      <c r="S9" s="147">
        <v>46245</v>
      </c>
      <c r="T9" s="132" t="str">
        <v>--</v>
      </c>
      <c r="U9" s="138">
        <v>20</v>
      </c>
      <c r="V9" s="154" t="b">
        <v>0</v>
      </c>
      <c r="W9" s="147">
        <v>46265</v>
      </c>
      <c r="X9" s="138">
        <v>5</v>
      </c>
      <c r="Y9" s="154" t="b">
        <v>0</v>
      </c>
      <c r="Z9" s="154" t="b">
        <v>0</v>
      </c>
      <c r="AA9" s="147">
        <v>46270</v>
      </c>
      <c r="AB9" s="148" t="str">
        <v>Sat</v>
      </c>
      <c r="AC9" s="149" t="str">
        <v>--</v>
      </c>
      <c r="AD9" s="132" t="str">
        <v>--</v>
      </c>
      <c r="AE9" s="154" t="b">
        <v>0</v>
      </c>
      <c r="AF9" s="228" t="b">
        <v>0</v>
      </c>
      <c r="AG9" s="154" t="b">
        <v>0</v>
      </c>
      <c r="AH9" s="139">
        <v>46272</v>
      </c>
      <c r="AI9" s="150" t="str">
        <v>-2 days</v>
      </c>
      <c r="AJ9" s="138">
        <v>-2</v>
      </c>
      <c r="AK9" s="151">
        <v>30</v>
      </c>
      <c r="AL9" s="152" t="str">
        <v>--</v>
      </c>
      <c r="AP9" s="2" cm="1">
        <f t="array" aca="1" ref="AP9:BY41" ca="1">_xlfn.LET(_xlpm.rng,$C$8:$AL$45,_xlpm.d,$AA$8:$AA$45,_xlpm.mask,(ISNUMBER(_xlpm.d))*(_xlpm.d&gt;=TODAY()),_xlpm.rows_upcoming,_xlfn._xlws.FILTER(_xlpm.rng,_xlpm.mask),_xlpm.d_upcoming,_xlfn._xlws.FILTER(_xlpm.d,_xlpm.mask),_xlpm.sorted,_xlfn.SORTBY(_xlpm.rows_upcoming,_xlpm.d_upcoming,1,_xlfn._xlws.FILTER($E$8:$E$45,_xlpm.mask),1),_xlfn.TAKE(_xlpm.sorted,33))</f>
        <v>9</v>
      </c>
      <c r="AQ9" s="2" t="str">
        <f ca="1"/>
        <v>PROJ</v>
      </c>
      <c r="AR9" s="2">
        <f ca="1"/>
        <v>1</v>
      </c>
      <c r="AS9" s="2">
        <f ca="1"/>
        <v>32</v>
      </c>
      <c r="AT9" s="2" t="str">
        <f ca="1"/>
        <v>Wk 32</v>
      </c>
      <c r="AU9" s="2" t="str">
        <f ca="1"/>
        <v>3</v>
      </c>
      <c r="AV9" s="2" t="str">
        <f ca="1"/>
        <v>301:313,315:321</v>
      </c>
      <c r="AW9" s="2">
        <f ca="1"/>
        <v>20</v>
      </c>
      <c r="AX9" s="2" t="b">
        <f ca="1"/>
        <v>0</v>
      </c>
      <c r="AY9" s="2" t="str">
        <f ca="1"/>
        <v>--</v>
      </c>
      <c r="AZ9" s="2" t="str">
        <f ca="1"/>
        <v>--</v>
      </c>
      <c r="BA9" s="2" t="str">
        <f ca="1"/>
        <v>(08/03/26-08/09/26)</v>
      </c>
      <c r="BB9" s="2" t="b">
        <f ca="1"/>
        <v>0</v>
      </c>
      <c r="BC9" s="2">
        <f ca="1"/>
        <v>46240</v>
      </c>
      <c r="BD9" s="2">
        <f ca="1"/>
        <v>5</v>
      </c>
      <c r="BE9" s="2" t="b">
        <f ca="1"/>
        <v>0</v>
      </c>
      <c r="BF9" s="2">
        <f ca="1"/>
        <v>46245</v>
      </c>
      <c r="BG9" s="2" t="str">
        <f ca="1"/>
        <v>--</v>
      </c>
      <c r="BH9" s="2">
        <f ca="1"/>
        <v>20</v>
      </c>
      <c r="BI9" s="2" t="b">
        <f ca="1"/>
        <v>0</v>
      </c>
      <c r="BJ9" s="2">
        <f ca="1"/>
        <v>46265</v>
      </c>
      <c r="BK9" s="2">
        <f ca="1"/>
        <v>5</v>
      </c>
      <c r="BL9" s="2" t="b">
        <f ca="1"/>
        <v>0</v>
      </c>
      <c r="BM9" s="2" t="b">
        <f ca="1"/>
        <v>0</v>
      </c>
      <c r="BN9" s="2">
        <f ca="1"/>
        <v>46270</v>
      </c>
      <c r="BO9" s="2" t="str">
        <f ca="1"/>
        <v>Sat</v>
      </c>
      <c r="BP9" s="2" t="str">
        <f ca="1"/>
        <v>--</v>
      </c>
      <c r="BQ9" s="2" t="str">
        <f ca="1"/>
        <v>--</v>
      </c>
      <c r="BR9" s="2" t="b">
        <f ca="1"/>
        <v>0</v>
      </c>
      <c r="BS9" s="2" t="b">
        <f ca="1"/>
        <v>0</v>
      </c>
      <c r="BT9" s="2" t="b">
        <f ca="1"/>
        <v>0</v>
      </c>
      <c r="BU9" s="2">
        <f ca="1"/>
        <v>46272</v>
      </c>
      <c r="BV9" s="2" t="str">
        <f ca="1"/>
        <v>-2 days</v>
      </c>
      <c r="BW9" s="2">
        <f ca="1"/>
        <v>-2</v>
      </c>
      <c r="BX9" s="2">
        <f ca="1"/>
        <v>30</v>
      </c>
      <c r="BY9" s="2" t="str">
        <f ca="1"/>
        <v>--</v>
      </c>
    </row>
    <row r="10" spans="1:77" ht="27" customHeight="1" x14ac:dyDescent="0.2">
      <c r="C10" s="140">
        <v>9</v>
      </c>
      <c r="D10" s="141" t="str">
        <v>PROJ</v>
      </c>
      <c r="E10" s="142">
        <v>3</v>
      </c>
      <c r="F10" s="143">
        <v>32</v>
      </c>
      <c r="G10" s="144" t="str">
        <v>Wk 32</v>
      </c>
      <c r="H10" s="145" t="str">
        <v>3,4</v>
      </c>
      <c r="I10" s="146" t="str">
        <v>343:349,352:354,356:358,401:407</v>
      </c>
      <c r="J10" s="137">
        <v>20</v>
      </c>
      <c r="K10" s="154" t="b">
        <v>0</v>
      </c>
      <c r="L10" s="132" t="str">
        <v>--</v>
      </c>
      <c r="M10" s="132" t="str">
        <v>--</v>
      </c>
      <c r="N10" s="132" t="str">
        <v>(08/03/26-08/09/26)</v>
      </c>
      <c r="O10" s="154" t="b">
        <v>0</v>
      </c>
      <c r="P10" s="147">
        <v>46240</v>
      </c>
      <c r="Q10" s="138">
        <v>5</v>
      </c>
      <c r="R10" s="154" t="b">
        <v>0</v>
      </c>
      <c r="S10" s="147">
        <v>46245</v>
      </c>
      <c r="T10" s="132" t="str">
        <v>--</v>
      </c>
      <c r="U10" s="138">
        <v>20</v>
      </c>
      <c r="V10" s="154" t="b">
        <v>0</v>
      </c>
      <c r="W10" s="147">
        <v>46265</v>
      </c>
      <c r="X10" s="138">
        <v>5</v>
      </c>
      <c r="Y10" s="154" t="b">
        <v>0</v>
      </c>
      <c r="Z10" s="154" t="b">
        <v>0</v>
      </c>
      <c r="AA10" s="147">
        <v>46270</v>
      </c>
      <c r="AB10" s="148" t="str">
        <v>Sat</v>
      </c>
      <c r="AC10" s="149" t="str">
        <v>--</v>
      </c>
      <c r="AD10" s="132" t="str">
        <v>--</v>
      </c>
      <c r="AE10" s="154" t="b">
        <v>0</v>
      </c>
      <c r="AF10" s="228" t="b">
        <v>0</v>
      </c>
      <c r="AG10" s="154" t="b">
        <v>0</v>
      </c>
      <c r="AH10" s="139">
        <v>46272</v>
      </c>
      <c r="AI10" s="150" t="str">
        <v>-2 days</v>
      </c>
      <c r="AJ10" s="138">
        <v>-2</v>
      </c>
      <c r="AK10" s="151">
        <v>30</v>
      </c>
      <c r="AL10" s="152" t="str">
        <v>--</v>
      </c>
      <c r="AN10" s="153"/>
      <c r="AP10" s="2">
        <f ca="1"/>
        <v>9</v>
      </c>
      <c r="AQ10" s="2" t="str">
        <f ca="1"/>
        <v>PROJ</v>
      </c>
      <c r="AR10" s="2">
        <f ca="1"/>
        <v>2</v>
      </c>
      <c r="AS10" s="2">
        <f ca="1"/>
        <v>32</v>
      </c>
      <c r="AT10" s="2" t="str">
        <f ca="1"/>
        <v>Wk 32</v>
      </c>
      <c r="AU10" s="2" t="str">
        <f ca="1"/>
        <v>3</v>
      </c>
      <c r="AV10" s="2" t="str">
        <f ca="1"/>
        <v>322:333,335:342</v>
      </c>
      <c r="AW10" s="2">
        <f ca="1"/>
        <v>20</v>
      </c>
      <c r="AX10" s="2" t="b">
        <f ca="1"/>
        <v>0</v>
      </c>
      <c r="AY10" s="2" t="str">
        <f ca="1"/>
        <v>--</v>
      </c>
      <c r="AZ10" s="2" t="str">
        <f ca="1"/>
        <v>--</v>
      </c>
      <c r="BA10" s="2" t="str">
        <f ca="1"/>
        <v>(08/03/26-08/09/26)</v>
      </c>
      <c r="BB10" s="2" t="b">
        <f ca="1"/>
        <v>0</v>
      </c>
      <c r="BC10" s="2">
        <f ca="1"/>
        <v>46240</v>
      </c>
      <c r="BD10" s="2">
        <f ca="1"/>
        <v>5</v>
      </c>
      <c r="BE10" s="2" t="b">
        <f ca="1"/>
        <v>0</v>
      </c>
      <c r="BF10" s="2">
        <f ca="1"/>
        <v>46245</v>
      </c>
      <c r="BG10" s="2" t="str">
        <f ca="1"/>
        <v>--</v>
      </c>
      <c r="BH10" s="2">
        <f ca="1"/>
        <v>20</v>
      </c>
      <c r="BI10" s="2" t="b">
        <f ca="1"/>
        <v>0</v>
      </c>
      <c r="BJ10" s="2">
        <f ca="1"/>
        <v>46265</v>
      </c>
      <c r="BK10" s="2">
        <f ca="1"/>
        <v>5</v>
      </c>
      <c r="BL10" s="2" t="b">
        <f ca="1"/>
        <v>0</v>
      </c>
      <c r="BM10" s="2" t="b">
        <f ca="1"/>
        <v>0</v>
      </c>
      <c r="BN10" s="2">
        <f ca="1"/>
        <v>46270</v>
      </c>
      <c r="BO10" s="2" t="str">
        <f ca="1"/>
        <v>Sat</v>
      </c>
      <c r="BP10" s="2" t="str">
        <f ca="1"/>
        <v>--</v>
      </c>
      <c r="BQ10" s="2" t="str">
        <f ca="1"/>
        <v>--</v>
      </c>
      <c r="BR10" s="2" t="b">
        <f ca="1"/>
        <v>0</v>
      </c>
      <c r="BS10" s="2" t="b">
        <f ca="1"/>
        <v>0</v>
      </c>
      <c r="BT10" s="2" t="b">
        <f ca="1"/>
        <v>0</v>
      </c>
      <c r="BU10" s="2">
        <f ca="1"/>
        <v>46272</v>
      </c>
      <c r="BV10" s="2" t="str">
        <f ca="1"/>
        <v>-2 days</v>
      </c>
      <c r="BW10" s="2">
        <f ca="1"/>
        <v>-2</v>
      </c>
      <c r="BX10" s="2">
        <f ca="1"/>
        <v>30</v>
      </c>
      <c r="BY10" s="2" t="str">
        <f ca="1"/>
        <v>--</v>
      </c>
    </row>
    <row r="11" spans="1:77" ht="27" customHeight="1" x14ac:dyDescent="0.2">
      <c r="C11" s="140">
        <v>9</v>
      </c>
      <c r="D11" s="141" t="str">
        <v>PROJ</v>
      </c>
      <c r="E11" s="142">
        <v>4</v>
      </c>
      <c r="F11" s="143">
        <v>37</v>
      </c>
      <c r="G11" s="144" t="str">
        <v>Wk 37</v>
      </c>
      <c r="H11" s="145" t="str">
        <v>4</v>
      </c>
      <c r="I11" s="146" t="str">
        <v>408:425</v>
      </c>
      <c r="J11" s="137">
        <v>18</v>
      </c>
      <c r="K11" s="154" t="b">
        <v>0</v>
      </c>
      <c r="L11" s="132" t="str">
        <v>--</v>
      </c>
      <c r="M11" s="132" t="str">
        <v>--</v>
      </c>
      <c r="N11" s="132" t="str">
        <v>(09/07/26-09/13/26)</v>
      </c>
      <c r="O11" s="154" t="b">
        <v>0</v>
      </c>
      <c r="P11" s="147">
        <v>46275</v>
      </c>
      <c r="Q11" s="138">
        <v>5</v>
      </c>
      <c r="R11" s="154" t="b">
        <v>0</v>
      </c>
      <c r="S11" s="147">
        <v>46280</v>
      </c>
      <c r="T11" s="132" t="str">
        <v>--</v>
      </c>
      <c r="U11" s="138">
        <v>20</v>
      </c>
      <c r="V11" s="154" t="b">
        <v>0</v>
      </c>
      <c r="W11" s="147">
        <v>46300</v>
      </c>
      <c r="X11" s="138">
        <v>5</v>
      </c>
      <c r="Y11" s="154" t="b">
        <v>0</v>
      </c>
      <c r="Z11" s="154" t="b">
        <v>0</v>
      </c>
      <c r="AA11" s="147">
        <v>46305</v>
      </c>
      <c r="AB11" s="148" t="str">
        <v>Sat</v>
      </c>
      <c r="AC11" s="149" t="str">
        <v>--</v>
      </c>
      <c r="AD11" s="132" t="str">
        <v>--</v>
      </c>
      <c r="AE11" s="154" t="b">
        <v>0</v>
      </c>
      <c r="AF11" s="228" t="b">
        <v>0</v>
      </c>
      <c r="AG11" s="154" t="b">
        <v>0</v>
      </c>
      <c r="AH11" s="139">
        <v>46300</v>
      </c>
      <c r="AI11" s="150" t="str">
        <v>+5 days</v>
      </c>
      <c r="AJ11" s="138">
        <v>5</v>
      </c>
      <c r="AK11" s="151">
        <v>30</v>
      </c>
      <c r="AL11" s="152" t="str">
        <v>--</v>
      </c>
      <c r="AP11" s="2">
        <f ca="1"/>
        <v>9</v>
      </c>
      <c r="AQ11" s="2" t="str">
        <f ca="1"/>
        <v>PROJ</v>
      </c>
      <c r="AR11" s="2">
        <f ca="1"/>
        <v>3</v>
      </c>
      <c r="AS11" s="2">
        <f ca="1"/>
        <v>32</v>
      </c>
      <c r="AT11" s="2" t="str">
        <f ca="1"/>
        <v>Wk 32</v>
      </c>
      <c r="AU11" s="2" t="str">
        <f ca="1"/>
        <v>3,4</v>
      </c>
      <c r="AV11" s="2" t="str">
        <f ca="1"/>
        <v>343:349,352:354,356:358,401:407</v>
      </c>
      <c r="AW11" s="2">
        <f ca="1"/>
        <v>20</v>
      </c>
      <c r="AX11" s="2" t="b">
        <f ca="1"/>
        <v>0</v>
      </c>
      <c r="AY11" s="2" t="str">
        <f ca="1"/>
        <v>--</v>
      </c>
      <c r="AZ11" s="2" t="str">
        <f ca="1"/>
        <v>--</v>
      </c>
      <c r="BA11" s="2" t="str">
        <f ca="1"/>
        <v>(08/03/26-08/09/26)</v>
      </c>
      <c r="BB11" s="2" t="b">
        <f ca="1"/>
        <v>0</v>
      </c>
      <c r="BC11" s="2">
        <f ca="1"/>
        <v>46240</v>
      </c>
      <c r="BD11" s="2">
        <f ca="1"/>
        <v>5</v>
      </c>
      <c r="BE11" s="2" t="b">
        <f ca="1"/>
        <v>0</v>
      </c>
      <c r="BF11" s="2">
        <f ca="1"/>
        <v>46245</v>
      </c>
      <c r="BG11" s="2" t="str">
        <f ca="1"/>
        <v>--</v>
      </c>
      <c r="BH11" s="2">
        <f ca="1"/>
        <v>20</v>
      </c>
      <c r="BI11" s="2" t="b">
        <f ca="1"/>
        <v>0</v>
      </c>
      <c r="BJ11" s="2">
        <f ca="1"/>
        <v>46265</v>
      </c>
      <c r="BK11" s="2">
        <f ca="1"/>
        <v>5</v>
      </c>
      <c r="BL11" s="2" t="b">
        <f ca="1"/>
        <v>0</v>
      </c>
      <c r="BM11" s="2" t="b">
        <f ca="1"/>
        <v>0</v>
      </c>
      <c r="BN11" s="2">
        <f ca="1"/>
        <v>46270</v>
      </c>
      <c r="BO11" s="2" t="str">
        <f ca="1"/>
        <v>Sat</v>
      </c>
      <c r="BP11" s="2" t="str">
        <f ca="1"/>
        <v>--</v>
      </c>
      <c r="BQ11" s="2" t="str">
        <f ca="1"/>
        <v>--</v>
      </c>
      <c r="BR11" s="2" t="b">
        <f ca="1"/>
        <v>0</v>
      </c>
      <c r="BS11" s="2" t="b">
        <f ca="1"/>
        <v>0</v>
      </c>
      <c r="BT11" s="2" t="b">
        <f ca="1"/>
        <v>0</v>
      </c>
      <c r="BU11" s="2">
        <f ca="1"/>
        <v>46272</v>
      </c>
      <c r="BV11" s="2" t="str">
        <f ca="1"/>
        <v>-2 days</v>
      </c>
      <c r="BW11" s="2">
        <f ca="1"/>
        <v>-2</v>
      </c>
      <c r="BX11" s="2">
        <f ca="1"/>
        <v>30</v>
      </c>
      <c r="BY11" s="2" t="str">
        <f ca="1"/>
        <v>--</v>
      </c>
    </row>
    <row r="12" spans="1:77" ht="27" customHeight="1" x14ac:dyDescent="0.2">
      <c r="C12" s="140">
        <v>9</v>
      </c>
      <c r="D12" s="141" t="str">
        <v>PROJ</v>
      </c>
      <c r="E12" s="142">
        <v>5</v>
      </c>
      <c r="F12" s="143">
        <v>37</v>
      </c>
      <c r="G12" s="144" t="str">
        <v>Wk 37</v>
      </c>
      <c r="H12" s="145" t="str">
        <v>4</v>
      </c>
      <c r="I12" s="146" t="str">
        <v>426:443</v>
      </c>
      <c r="J12" s="137">
        <v>18</v>
      </c>
      <c r="K12" s="154" t="b">
        <v>0</v>
      </c>
      <c r="L12" s="132" t="str">
        <v>--</v>
      </c>
      <c r="M12" s="132" t="str">
        <v>--</v>
      </c>
      <c r="N12" s="132" t="str">
        <v>(09/07/26-09/13/26)</v>
      </c>
      <c r="O12" s="154" t="b">
        <v>0</v>
      </c>
      <c r="P12" s="147">
        <v>46275</v>
      </c>
      <c r="Q12" s="138">
        <v>5</v>
      </c>
      <c r="R12" s="154" t="b">
        <v>0</v>
      </c>
      <c r="S12" s="147">
        <v>46280</v>
      </c>
      <c r="T12" s="132" t="str">
        <v>--</v>
      </c>
      <c r="U12" s="138">
        <v>20</v>
      </c>
      <c r="V12" s="154" t="b">
        <v>0</v>
      </c>
      <c r="W12" s="147">
        <v>46300</v>
      </c>
      <c r="X12" s="138">
        <v>5</v>
      </c>
      <c r="Y12" s="154" t="b">
        <v>0</v>
      </c>
      <c r="Z12" s="154" t="b">
        <v>0</v>
      </c>
      <c r="AA12" s="147">
        <v>46305</v>
      </c>
      <c r="AB12" s="148" t="str">
        <v>Sat</v>
      </c>
      <c r="AC12" s="149" t="str">
        <v>--</v>
      </c>
      <c r="AD12" s="132" t="str">
        <v>--</v>
      </c>
      <c r="AE12" s="154" t="b">
        <v>0</v>
      </c>
      <c r="AF12" s="228" t="b">
        <v>0</v>
      </c>
      <c r="AG12" s="154" t="b">
        <v>0</v>
      </c>
      <c r="AH12" s="139">
        <v>46300</v>
      </c>
      <c r="AI12" s="150" t="str">
        <v>+5 days</v>
      </c>
      <c r="AJ12" s="138">
        <v>5</v>
      </c>
      <c r="AK12" s="151">
        <v>30</v>
      </c>
      <c r="AL12" s="152" t="str">
        <v>--</v>
      </c>
      <c r="AP12" s="2">
        <f ca="1"/>
        <v>9</v>
      </c>
      <c r="AQ12" s="2" t="str">
        <f ca="1"/>
        <v>PROJ</v>
      </c>
      <c r="AR12" s="2">
        <f ca="1"/>
        <v>4</v>
      </c>
      <c r="AS12" s="2">
        <f ca="1"/>
        <v>37</v>
      </c>
      <c r="AT12" s="2" t="str">
        <f ca="1"/>
        <v>Wk 37</v>
      </c>
      <c r="AU12" s="2" t="str">
        <f ca="1"/>
        <v>4</v>
      </c>
      <c r="AV12" s="2" t="str">
        <f ca="1"/>
        <v>408:425</v>
      </c>
      <c r="AW12" s="2">
        <f ca="1"/>
        <v>18</v>
      </c>
      <c r="AX12" s="2" t="b">
        <f ca="1"/>
        <v>0</v>
      </c>
      <c r="AY12" s="2" t="str">
        <f ca="1"/>
        <v>--</v>
      </c>
      <c r="AZ12" s="2" t="str">
        <f ca="1"/>
        <v>--</v>
      </c>
      <c r="BA12" s="2" t="str">
        <f ca="1"/>
        <v>(09/07/26-09/13/26)</v>
      </c>
      <c r="BB12" s="2" t="b">
        <f ca="1"/>
        <v>0</v>
      </c>
      <c r="BC12" s="2">
        <f ca="1"/>
        <v>46275</v>
      </c>
      <c r="BD12" s="2">
        <f ca="1"/>
        <v>5</v>
      </c>
      <c r="BE12" s="2" t="b">
        <f ca="1"/>
        <v>0</v>
      </c>
      <c r="BF12" s="2">
        <f ca="1"/>
        <v>46280</v>
      </c>
      <c r="BG12" s="2" t="str">
        <f ca="1"/>
        <v>--</v>
      </c>
      <c r="BH12" s="2">
        <f ca="1"/>
        <v>20</v>
      </c>
      <c r="BI12" s="2" t="b">
        <f ca="1"/>
        <v>0</v>
      </c>
      <c r="BJ12" s="2">
        <f ca="1"/>
        <v>46300</v>
      </c>
      <c r="BK12" s="2">
        <f ca="1"/>
        <v>5</v>
      </c>
      <c r="BL12" s="2" t="b">
        <f ca="1"/>
        <v>0</v>
      </c>
      <c r="BM12" s="2" t="b">
        <f ca="1"/>
        <v>0</v>
      </c>
      <c r="BN12" s="2">
        <f ca="1"/>
        <v>46305</v>
      </c>
      <c r="BO12" s="2" t="str">
        <f ca="1"/>
        <v>Sat</v>
      </c>
      <c r="BP12" s="2" t="str">
        <f ca="1"/>
        <v>--</v>
      </c>
      <c r="BQ12" s="2" t="str">
        <f ca="1"/>
        <v>--</v>
      </c>
      <c r="BR12" s="2" t="b">
        <f ca="1"/>
        <v>0</v>
      </c>
      <c r="BS12" s="2" t="b">
        <f ca="1"/>
        <v>0</v>
      </c>
      <c r="BT12" s="2" t="b">
        <f ca="1"/>
        <v>0</v>
      </c>
      <c r="BU12" s="2">
        <f ca="1"/>
        <v>46300</v>
      </c>
      <c r="BV12" s="2" t="str">
        <f ca="1"/>
        <v>+5 days</v>
      </c>
      <c r="BW12" s="2">
        <f ca="1"/>
        <v>5</v>
      </c>
      <c r="BX12" s="2">
        <f ca="1"/>
        <v>30</v>
      </c>
      <c r="BY12" s="2" t="str">
        <f ca="1"/>
        <v>--</v>
      </c>
    </row>
    <row r="13" spans="1:77" ht="27" customHeight="1" x14ac:dyDescent="0.2">
      <c r="C13" s="140">
        <v>9</v>
      </c>
      <c r="D13" s="141" t="str">
        <v>PROJ</v>
      </c>
      <c r="E13" s="142">
        <v>6</v>
      </c>
      <c r="F13" s="143">
        <v>38</v>
      </c>
      <c r="G13" s="144" t="str">
        <v>Wk 38</v>
      </c>
      <c r="H13" s="145" t="str">
        <v>4,5</v>
      </c>
      <c r="I13" s="146" t="str">
        <v>444:449,452:458,501:503</v>
      </c>
      <c r="J13" s="137">
        <v>16</v>
      </c>
      <c r="K13" s="154" t="b">
        <v>0</v>
      </c>
      <c r="L13" s="132" t="str">
        <v>--</v>
      </c>
      <c r="M13" s="132" t="str">
        <v>--</v>
      </c>
      <c r="N13" s="132" t="str">
        <v>(09/14/26-09/20/26)</v>
      </c>
      <c r="O13" s="154" t="b">
        <v>0</v>
      </c>
      <c r="P13" s="147">
        <v>46282</v>
      </c>
      <c r="Q13" s="138">
        <v>5</v>
      </c>
      <c r="R13" s="154" t="b">
        <v>0</v>
      </c>
      <c r="S13" s="147">
        <v>46287</v>
      </c>
      <c r="T13" s="132" t="str">
        <v>--</v>
      </c>
      <c r="U13" s="138">
        <v>20</v>
      </c>
      <c r="V13" s="154" t="b">
        <v>0</v>
      </c>
      <c r="W13" s="147">
        <v>46307</v>
      </c>
      <c r="X13" s="138">
        <v>5</v>
      </c>
      <c r="Y13" s="154" t="b">
        <v>0</v>
      </c>
      <c r="Z13" s="154" t="b">
        <v>0</v>
      </c>
      <c r="AA13" s="147">
        <v>46312</v>
      </c>
      <c r="AB13" s="148" t="str">
        <v>Sat</v>
      </c>
      <c r="AC13" s="149" t="str">
        <v>--</v>
      </c>
      <c r="AD13" s="132" t="str">
        <v>--</v>
      </c>
      <c r="AE13" s="154" t="b">
        <v>0</v>
      </c>
      <c r="AF13" s="228" t="b">
        <v>0</v>
      </c>
      <c r="AG13" s="154" t="b">
        <v>0</v>
      </c>
      <c r="AH13" s="139">
        <v>46300</v>
      </c>
      <c r="AI13" s="150" t="str">
        <v>+12 days</v>
      </c>
      <c r="AJ13" s="138">
        <v>12</v>
      </c>
      <c r="AK13" s="151">
        <v>30</v>
      </c>
      <c r="AL13" s="152" t="str">
        <v>--</v>
      </c>
      <c r="AP13" s="2">
        <f ca="1"/>
        <v>9</v>
      </c>
      <c r="AQ13" s="2" t="str">
        <f ca="1"/>
        <v>PROJ</v>
      </c>
      <c r="AR13" s="2">
        <f ca="1"/>
        <v>5</v>
      </c>
      <c r="AS13" s="2">
        <f ca="1"/>
        <v>37</v>
      </c>
      <c r="AT13" s="2" t="str">
        <f ca="1"/>
        <v>Wk 37</v>
      </c>
      <c r="AU13" s="2" t="str">
        <f ca="1"/>
        <v>4</v>
      </c>
      <c r="AV13" s="2" t="str">
        <f ca="1"/>
        <v>426:443</v>
      </c>
      <c r="AW13" s="2">
        <f ca="1"/>
        <v>18</v>
      </c>
      <c r="AX13" s="2" t="b">
        <f ca="1"/>
        <v>0</v>
      </c>
      <c r="AY13" s="2" t="str">
        <f ca="1"/>
        <v>--</v>
      </c>
      <c r="AZ13" s="2" t="str">
        <f ca="1"/>
        <v>--</v>
      </c>
      <c r="BA13" s="2" t="str">
        <f ca="1"/>
        <v>(09/07/26-09/13/26)</v>
      </c>
      <c r="BB13" s="2" t="b">
        <f ca="1"/>
        <v>0</v>
      </c>
      <c r="BC13" s="2">
        <f ca="1"/>
        <v>46275</v>
      </c>
      <c r="BD13" s="2">
        <f ca="1"/>
        <v>5</v>
      </c>
      <c r="BE13" s="2" t="b">
        <f ca="1"/>
        <v>0</v>
      </c>
      <c r="BF13" s="2">
        <f ca="1"/>
        <v>46280</v>
      </c>
      <c r="BG13" s="2" t="str">
        <f ca="1"/>
        <v>--</v>
      </c>
      <c r="BH13" s="2">
        <f ca="1"/>
        <v>20</v>
      </c>
      <c r="BI13" s="2" t="b">
        <f ca="1"/>
        <v>0</v>
      </c>
      <c r="BJ13" s="2">
        <f ca="1"/>
        <v>46300</v>
      </c>
      <c r="BK13" s="2">
        <f ca="1"/>
        <v>5</v>
      </c>
      <c r="BL13" s="2" t="b">
        <f ca="1"/>
        <v>0</v>
      </c>
      <c r="BM13" s="2" t="b">
        <f ca="1"/>
        <v>0</v>
      </c>
      <c r="BN13" s="2">
        <f ca="1"/>
        <v>46305</v>
      </c>
      <c r="BO13" s="2" t="str">
        <f ca="1"/>
        <v>Sat</v>
      </c>
      <c r="BP13" s="2" t="str">
        <f ca="1"/>
        <v>--</v>
      </c>
      <c r="BQ13" s="2" t="str">
        <f ca="1"/>
        <v>--</v>
      </c>
      <c r="BR13" s="2" t="b">
        <f ca="1"/>
        <v>0</v>
      </c>
      <c r="BS13" s="2" t="b">
        <f ca="1"/>
        <v>0</v>
      </c>
      <c r="BT13" s="2" t="b">
        <f ca="1"/>
        <v>0</v>
      </c>
      <c r="BU13" s="2">
        <f ca="1"/>
        <v>46300</v>
      </c>
      <c r="BV13" s="2" t="str">
        <f ca="1"/>
        <v>+5 days</v>
      </c>
      <c r="BW13" s="2">
        <f ca="1"/>
        <v>5</v>
      </c>
      <c r="BX13" s="2">
        <f ca="1"/>
        <v>30</v>
      </c>
      <c r="BY13" s="2" t="str">
        <f ca="1"/>
        <v>--</v>
      </c>
    </row>
    <row r="14" spans="1:77" ht="27" customHeight="1" x14ac:dyDescent="0.2">
      <c r="C14" s="140">
        <v>9</v>
      </c>
      <c r="D14" s="141" t="str">
        <v>PROJ</v>
      </c>
      <c r="E14" s="142">
        <v>7</v>
      </c>
      <c r="F14" s="143">
        <v>38</v>
      </c>
      <c r="G14" s="144" t="str">
        <v>Wk 38</v>
      </c>
      <c r="H14" s="145" t="str">
        <v>5</v>
      </c>
      <c r="I14" s="146" t="str">
        <v>504:521</v>
      </c>
      <c r="J14" s="137">
        <v>18</v>
      </c>
      <c r="K14" s="154" t="b">
        <v>0</v>
      </c>
      <c r="L14" s="132" t="str">
        <v>--</v>
      </c>
      <c r="M14" s="132" t="str">
        <v>--</v>
      </c>
      <c r="N14" s="132" t="str">
        <v>(09/14/26-09/20/26)</v>
      </c>
      <c r="O14" s="154" t="b">
        <v>0</v>
      </c>
      <c r="P14" s="147">
        <v>46282</v>
      </c>
      <c r="Q14" s="138">
        <v>5</v>
      </c>
      <c r="R14" s="154" t="b">
        <v>0</v>
      </c>
      <c r="S14" s="147">
        <v>46287</v>
      </c>
      <c r="T14" s="132" t="str">
        <v>--</v>
      </c>
      <c r="U14" s="138">
        <v>20</v>
      </c>
      <c r="V14" s="154" t="b">
        <v>0</v>
      </c>
      <c r="W14" s="147">
        <v>46307</v>
      </c>
      <c r="X14" s="138">
        <v>5</v>
      </c>
      <c r="Y14" s="154" t="b">
        <v>0</v>
      </c>
      <c r="Z14" s="154" t="b">
        <v>0</v>
      </c>
      <c r="AA14" s="147">
        <v>46312</v>
      </c>
      <c r="AB14" s="148" t="str">
        <v>Sat</v>
      </c>
      <c r="AC14" s="149" t="str">
        <v>--</v>
      </c>
      <c r="AD14" s="132" t="str">
        <v>--</v>
      </c>
      <c r="AE14" s="154" t="b">
        <v>0</v>
      </c>
      <c r="AF14" s="228" t="b">
        <v>0</v>
      </c>
      <c r="AG14" s="154" t="b">
        <v>0</v>
      </c>
      <c r="AH14" s="139">
        <v>46314</v>
      </c>
      <c r="AI14" s="150" t="str">
        <v>-2 days</v>
      </c>
      <c r="AJ14" s="138">
        <v>-2</v>
      </c>
      <c r="AK14" s="151">
        <v>30</v>
      </c>
      <c r="AL14" s="152" t="str">
        <v>--</v>
      </c>
      <c r="AP14" s="2">
        <f ca="1"/>
        <v>9</v>
      </c>
      <c r="AQ14" s="2" t="str">
        <f ca="1"/>
        <v>PROJ</v>
      </c>
      <c r="AR14" s="2">
        <f ca="1"/>
        <v>6</v>
      </c>
      <c r="AS14" s="2">
        <f ca="1"/>
        <v>38</v>
      </c>
      <c r="AT14" s="2" t="str">
        <f ca="1"/>
        <v>Wk 38</v>
      </c>
      <c r="AU14" s="2" t="str">
        <f ca="1"/>
        <v>4,5</v>
      </c>
      <c r="AV14" s="2" t="str">
        <f ca="1"/>
        <v>444:449,452:458,501:503</v>
      </c>
      <c r="AW14" s="2">
        <f ca="1"/>
        <v>16</v>
      </c>
      <c r="AX14" s="2" t="b">
        <f ca="1"/>
        <v>0</v>
      </c>
      <c r="AY14" s="2" t="str">
        <f ca="1"/>
        <v>--</v>
      </c>
      <c r="AZ14" s="2" t="str">
        <f ca="1"/>
        <v>--</v>
      </c>
      <c r="BA14" s="2" t="str">
        <f ca="1"/>
        <v>(09/14/26-09/20/26)</v>
      </c>
      <c r="BB14" s="2" t="b">
        <f ca="1"/>
        <v>0</v>
      </c>
      <c r="BC14" s="2">
        <f ca="1"/>
        <v>46282</v>
      </c>
      <c r="BD14" s="2">
        <f ca="1"/>
        <v>5</v>
      </c>
      <c r="BE14" s="2" t="b">
        <f ca="1"/>
        <v>0</v>
      </c>
      <c r="BF14" s="2">
        <f ca="1"/>
        <v>46287</v>
      </c>
      <c r="BG14" s="2" t="str">
        <f ca="1"/>
        <v>--</v>
      </c>
      <c r="BH14" s="2">
        <f ca="1"/>
        <v>20</v>
      </c>
      <c r="BI14" s="2" t="b">
        <f ca="1"/>
        <v>0</v>
      </c>
      <c r="BJ14" s="2">
        <f ca="1"/>
        <v>46307</v>
      </c>
      <c r="BK14" s="2">
        <f ca="1"/>
        <v>5</v>
      </c>
      <c r="BL14" s="2" t="b">
        <f ca="1"/>
        <v>0</v>
      </c>
      <c r="BM14" s="2" t="b">
        <f ca="1"/>
        <v>0</v>
      </c>
      <c r="BN14" s="2">
        <f ca="1"/>
        <v>46312</v>
      </c>
      <c r="BO14" s="2" t="str">
        <f ca="1"/>
        <v>Sat</v>
      </c>
      <c r="BP14" s="2" t="str">
        <f ca="1"/>
        <v>--</v>
      </c>
      <c r="BQ14" s="2" t="str">
        <f ca="1"/>
        <v>--</v>
      </c>
      <c r="BR14" s="2" t="b">
        <f ca="1"/>
        <v>0</v>
      </c>
      <c r="BS14" s="2" t="b">
        <f ca="1"/>
        <v>0</v>
      </c>
      <c r="BT14" s="2" t="b">
        <f ca="1"/>
        <v>0</v>
      </c>
      <c r="BU14" s="2">
        <f ca="1"/>
        <v>46300</v>
      </c>
      <c r="BV14" s="2" t="str">
        <f ca="1"/>
        <v>+12 days</v>
      </c>
      <c r="BW14" s="2">
        <f ca="1"/>
        <v>12</v>
      </c>
      <c r="BX14" s="2">
        <f ca="1"/>
        <v>30</v>
      </c>
      <c r="BY14" s="2" t="str">
        <f ca="1"/>
        <v>--</v>
      </c>
    </row>
    <row r="15" spans="1:77" ht="27" customHeight="1" x14ac:dyDescent="0.2">
      <c r="C15" s="140">
        <v>9</v>
      </c>
      <c r="D15" s="141" t="str">
        <v>PROJ</v>
      </c>
      <c r="E15" s="142">
        <v>8</v>
      </c>
      <c r="F15" s="143">
        <v>39</v>
      </c>
      <c r="G15" s="144" t="str">
        <v>Wk 39</v>
      </c>
      <c r="H15" s="145" t="str">
        <v>5</v>
      </c>
      <c r="I15" s="146" t="str">
        <v>522:539</v>
      </c>
      <c r="J15" s="137">
        <v>18</v>
      </c>
      <c r="K15" s="154" t="b">
        <v>0</v>
      </c>
      <c r="L15" s="132" t="str">
        <v>--</v>
      </c>
      <c r="M15" s="132" t="str">
        <v>--</v>
      </c>
      <c r="N15" s="132" t="str">
        <v>(09/21/26-09/27/26)</v>
      </c>
      <c r="O15" s="154" t="b">
        <v>0</v>
      </c>
      <c r="P15" s="147">
        <v>46289</v>
      </c>
      <c r="Q15" s="138">
        <v>5</v>
      </c>
      <c r="R15" s="154" t="b">
        <v>0</v>
      </c>
      <c r="S15" s="147">
        <v>46294</v>
      </c>
      <c r="T15" s="132" t="str">
        <v>--</v>
      </c>
      <c r="U15" s="138">
        <v>20</v>
      </c>
      <c r="V15" s="154" t="b">
        <v>0</v>
      </c>
      <c r="W15" s="147">
        <v>46314</v>
      </c>
      <c r="X15" s="138">
        <v>5</v>
      </c>
      <c r="Y15" s="154" t="b">
        <v>0</v>
      </c>
      <c r="Z15" s="154" t="b">
        <v>0</v>
      </c>
      <c r="AA15" s="147">
        <v>46319</v>
      </c>
      <c r="AB15" s="148" t="str">
        <v>Sat</v>
      </c>
      <c r="AC15" s="149" t="str">
        <v>--</v>
      </c>
      <c r="AD15" s="132" t="str">
        <v>--</v>
      </c>
      <c r="AE15" s="154" t="b">
        <v>0</v>
      </c>
      <c r="AF15" s="228" t="b">
        <v>0</v>
      </c>
      <c r="AG15" s="154" t="b">
        <v>0</v>
      </c>
      <c r="AH15" s="139">
        <v>46314</v>
      </c>
      <c r="AI15" s="150" t="str">
        <v>+5 days</v>
      </c>
      <c r="AJ15" s="138">
        <v>5</v>
      </c>
      <c r="AK15" s="151">
        <v>30</v>
      </c>
      <c r="AL15" s="152" t="str">
        <v>--</v>
      </c>
      <c r="AP15" s="2">
        <f ca="1"/>
        <v>9</v>
      </c>
      <c r="AQ15" s="2" t="str">
        <f ca="1"/>
        <v>PROJ</v>
      </c>
      <c r="AR15" s="2">
        <f ca="1"/>
        <v>7</v>
      </c>
      <c r="AS15" s="2">
        <f ca="1"/>
        <v>38</v>
      </c>
      <c r="AT15" s="2" t="str">
        <f ca="1"/>
        <v>Wk 38</v>
      </c>
      <c r="AU15" s="2" t="str">
        <f ca="1"/>
        <v>5</v>
      </c>
      <c r="AV15" s="2" t="str">
        <f ca="1"/>
        <v>504:521</v>
      </c>
      <c r="AW15" s="2">
        <f ca="1"/>
        <v>18</v>
      </c>
      <c r="AX15" s="2" t="b">
        <f ca="1"/>
        <v>0</v>
      </c>
      <c r="AY15" s="2" t="str">
        <f ca="1"/>
        <v>--</v>
      </c>
      <c r="AZ15" s="2" t="str">
        <f ca="1"/>
        <v>--</v>
      </c>
      <c r="BA15" s="2" t="str">
        <f ca="1"/>
        <v>(09/14/26-09/20/26)</v>
      </c>
      <c r="BB15" s="2" t="b">
        <f ca="1"/>
        <v>0</v>
      </c>
      <c r="BC15" s="2">
        <f ca="1"/>
        <v>46282</v>
      </c>
      <c r="BD15" s="2">
        <f ca="1"/>
        <v>5</v>
      </c>
      <c r="BE15" s="2" t="b">
        <f ca="1"/>
        <v>0</v>
      </c>
      <c r="BF15" s="2">
        <f ca="1"/>
        <v>46287</v>
      </c>
      <c r="BG15" s="2" t="str">
        <f ca="1"/>
        <v>--</v>
      </c>
      <c r="BH15" s="2">
        <f ca="1"/>
        <v>20</v>
      </c>
      <c r="BI15" s="2" t="b">
        <f ca="1"/>
        <v>0</v>
      </c>
      <c r="BJ15" s="2">
        <f ca="1"/>
        <v>46307</v>
      </c>
      <c r="BK15" s="2">
        <f ca="1"/>
        <v>5</v>
      </c>
      <c r="BL15" s="2" t="b">
        <f ca="1"/>
        <v>0</v>
      </c>
      <c r="BM15" s="2" t="b">
        <f ca="1"/>
        <v>0</v>
      </c>
      <c r="BN15" s="2">
        <f ca="1"/>
        <v>46312</v>
      </c>
      <c r="BO15" s="2" t="str">
        <f ca="1"/>
        <v>Sat</v>
      </c>
      <c r="BP15" s="2" t="str">
        <f ca="1"/>
        <v>--</v>
      </c>
      <c r="BQ15" s="2" t="str">
        <f ca="1"/>
        <v>--</v>
      </c>
      <c r="BR15" s="2" t="b">
        <f ca="1"/>
        <v>0</v>
      </c>
      <c r="BS15" s="2" t="b">
        <f ca="1"/>
        <v>0</v>
      </c>
      <c r="BT15" s="2" t="b">
        <f ca="1"/>
        <v>0</v>
      </c>
      <c r="BU15" s="2">
        <f ca="1"/>
        <v>46314</v>
      </c>
      <c r="BV15" s="2" t="str">
        <f ca="1"/>
        <v>-2 days</v>
      </c>
      <c r="BW15" s="2">
        <f ca="1"/>
        <v>-2</v>
      </c>
      <c r="BX15" s="2">
        <f ca="1"/>
        <v>30</v>
      </c>
      <c r="BY15" s="2" t="str">
        <f ca="1"/>
        <v>--</v>
      </c>
    </row>
    <row r="16" spans="1:77" ht="27" customHeight="1" x14ac:dyDescent="0.2">
      <c r="C16" s="140">
        <v>9</v>
      </c>
      <c r="D16" s="141" t="str">
        <v>PROJ</v>
      </c>
      <c r="E16" s="142">
        <v>9</v>
      </c>
      <c r="F16" s="143">
        <v>39</v>
      </c>
      <c r="G16" s="144" t="str">
        <v>Wk 39</v>
      </c>
      <c r="H16" s="145" t="str">
        <v>5</v>
      </c>
      <c r="I16" s="146" t="str">
        <v>540:549,552:557</v>
      </c>
      <c r="J16" s="137">
        <v>16</v>
      </c>
      <c r="K16" s="154" t="b">
        <v>0</v>
      </c>
      <c r="L16" s="132" t="str">
        <v>--</v>
      </c>
      <c r="M16" s="132" t="str">
        <v>--</v>
      </c>
      <c r="N16" s="132" t="str">
        <v>(09/21/26-09/27/26)</v>
      </c>
      <c r="O16" s="154" t="b">
        <v>0</v>
      </c>
      <c r="P16" s="147">
        <v>46289</v>
      </c>
      <c r="Q16" s="138">
        <v>5</v>
      </c>
      <c r="R16" s="154" t="b">
        <v>0</v>
      </c>
      <c r="S16" s="147">
        <v>46294</v>
      </c>
      <c r="T16" s="132" t="str">
        <v>--</v>
      </c>
      <c r="U16" s="138">
        <v>20</v>
      </c>
      <c r="V16" s="154" t="b">
        <v>0</v>
      </c>
      <c r="W16" s="147">
        <v>46314</v>
      </c>
      <c r="X16" s="138">
        <v>5</v>
      </c>
      <c r="Y16" s="154" t="b">
        <v>0</v>
      </c>
      <c r="Z16" s="154" t="b">
        <v>0</v>
      </c>
      <c r="AA16" s="147">
        <v>46319</v>
      </c>
      <c r="AB16" s="148" t="str">
        <v>Sat</v>
      </c>
      <c r="AC16" s="149" t="str">
        <v>--</v>
      </c>
      <c r="AD16" s="132" t="str">
        <v>--</v>
      </c>
      <c r="AE16" s="154" t="b">
        <v>0</v>
      </c>
      <c r="AF16" s="228" t="b">
        <v>0</v>
      </c>
      <c r="AG16" s="154" t="b">
        <v>0</v>
      </c>
      <c r="AH16" s="139">
        <v>46314</v>
      </c>
      <c r="AI16" s="150" t="str">
        <v>+5 days</v>
      </c>
      <c r="AJ16" s="138">
        <v>5</v>
      </c>
      <c r="AK16" s="151">
        <v>30</v>
      </c>
      <c r="AL16" s="152" t="str">
        <v>--</v>
      </c>
      <c r="AP16" s="2">
        <f ca="1"/>
        <v>9</v>
      </c>
      <c r="AQ16" s="2" t="str">
        <f ca="1"/>
        <v>PROJ</v>
      </c>
      <c r="AR16" s="2">
        <f ca="1"/>
        <v>8</v>
      </c>
      <c r="AS16" s="2">
        <f ca="1"/>
        <v>39</v>
      </c>
      <c r="AT16" s="2" t="str">
        <f ca="1"/>
        <v>Wk 39</v>
      </c>
      <c r="AU16" s="2" t="str">
        <f ca="1"/>
        <v>5</v>
      </c>
      <c r="AV16" s="2" t="str">
        <f ca="1"/>
        <v>522:539</v>
      </c>
      <c r="AW16" s="2">
        <f ca="1"/>
        <v>18</v>
      </c>
      <c r="AX16" s="2" t="b">
        <f ca="1"/>
        <v>0</v>
      </c>
      <c r="AY16" s="2" t="str">
        <f ca="1"/>
        <v>--</v>
      </c>
      <c r="AZ16" s="2" t="str">
        <f ca="1"/>
        <v>--</v>
      </c>
      <c r="BA16" s="2" t="str">
        <f ca="1"/>
        <v>(09/21/26-09/27/26)</v>
      </c>
      <c r="BB16" s="2" t="b">
        <f ca="1"/>
        <v>0</v>
      </c>
      <c r="BC16" s="2">
        <f ca="1"/>
        <v>46289</v>
      </c>
      <c r="BD16" s="2">
        <f ca="1"/>
        <v>5</v>
      </c>
      <c r="BE16" s="2" t="b">
        <f ca="1"/>
        <v>0</v>
      </c>
      <c r="BF16" s="2">
        <f ca="1"/>
        <v>46294</v>
      </c>
      <c r="BG16" s="2" t="str">
        <f ca="1"/>
        <v>--</v>
      </c>
      <c r="BH16" s="2">
        <f ca="1"/>
        <v>20</v>
      </c>
      <c r="BI16" s="2" t="b">
        <f ca="1"/>
        <v>0</v>
      </c>
      <c r="BJ16" s="2">
        <f ca="1"/>
        <v>46314</v>
      </c>
      <c r="BK16" s="2">
        <f ca="1"/>
        <v>5</v>
      </c>
      <c r="BL16" s="2" t="b">
        <f ca="1"/>
        <v>0</v>
      </c>
      <c r="BM16" s="2" t="b">
        <f ca="1"/>
        <v>0</v>
      </c>
      <c r="BN16" s="2">
        <f ca="1"/>
        <v>46319</v>
      </c>
      <c r="BO16" s="2" t="str">
        <f ca="1"/>
        <v>Sat</v>
      </c>
      <c r="BP16" s="2" t="str">
        <f ca="1"/>
        <v>--</v>
      </c>
      <c r="BQ16" s="2" t="str">
        <f ca="1"/>
        <v>--</v>
      </c>
      <c r="BR16" s="2" t="b">
        <f ca="1"/>
        <v>0</v>
      </c>
      <c r="BS16" s="2" t="b">
        <f ca="1"/>
        <v>0</v>
      </c>
      <c r="BT16" s="2" t="b">
        <f ca="1"/>
        <v>0</v>
      </c>
      <c r="BU16" s="2">
        <f ca="1"/>
        <v>46314</v>
      </c>
      <c r="BV16" s="2" t="str">
        <f ca="1"/>
        <v>+5 days</v>
      </c>
      <c r="BW16" s="2">
        <f ca="1"/>
        <v>5</v>
      </c>
      <c r="BX16" s="2">
        <f ca="1"/>
        <v>30</v>
      </c>
      <c r="BY16" s="2" t="str">
        <f ca="1"/>
        <v>--</v>
      </c>
    </row>
    <row r="17" spans="3:77" ht="27" customHeight="1" x14ac:dyDescent="0.2">
      <c r="C17" s="140">
        <v>9</v>
      </c>
      <c r="D17" s="141" t="str">
        <v>PROJ</v>
      </c>
      <c r="E17" s="142">
        <v>10</v>
      </c>
      <c r="F17" s="143">
        <v>40</v>
      </c>
      <c r="G17" s="144" t="str">
        <v>Wk 40</v>
      </c>
      <c r="H17" s="145" t="str">
        <v>5,6</v>
      </c>
      <c r="I17" s="146" t="str">
        <v>558,601:617</v>
      </c>
      <c r="J17" s="137">
        <v>18</v>
      </c>
      <c r="K17" s="154" t="b">
        <v>0</v>
      </c>
      <c r="L17" s="132" t="str">
        <v>--</v>
      </c>
      <c r="M17" s="132" t="str">
        <v>--</v>
      </c>
      <c r="N17" s="132" t="str">
        <v>(09/28/26-10/04/26)</v>
      </c>
      <c r="O17" s="154" t="b">
        <v>0</v>
      </c>
      <c r="P17" s="147">
        <v>46296</v>
      </c>
      <c r="Q17" s="138">
        <v>5</v>
      </c>
      <c r="R17" s="154" t="b">
        <v>0</v>
      </c>
      <c r="S17" s="147">
        <v>46301</v>
      </c>
      <c r="T17" s="132" t="str">
        <v>--</v>
      </c>
      <c r="U17" s="138">
        <v>20</v>
      </c>
      <c r="V17" s="154" t="b">
        <v>0</v>
      </c>
      <c r="W17" s="147">
        <v>46321</v>
      </c>
      <c r="X17" s="138">
        <v>5</v>
      </c>
      <c r="Y17" s="154" t="b">
        <v>0</v>
      </c>
      <c r="Z17" s="154" t="b">
        <v>0</v>
      </c>
      <c r="AA17" s="147">
        <v>46326</v>
      </c>
      <c r="AB17" s="148" t="str">
        <v>Sat</v>
      </c>
      <c r="AC17" s="149" t="str">
        <v>--</v>
      </c>
      <c r="AD17" s="132" t="str">
        <v>--</v>
      </c>
      <c r="AE17" s="154" t="b">
        <v>0</v>
      </c>
      <c r="AF17" s="228" t="b">
        <v>0</v>
      </c>
      <c r="AG17" s="154" t="b">
        <v>0</v>
      </c>
      <c r="AH17" s="139">
        <v>46314</v>
      </c>
      <c r="AI17" s="150" t="str">
        <v>+12 days</v>
      </c>
      <c r="AJ17" s="138">
        <v>12</v>
      </c>
      <c r="AK17" s="151">
        <v>30</v>
      </c>
      <c r="AL17" s="152" t="str">
        <v>--</v>
      </c>
      <c r="AP17" s="2">
        <f ca="1"/>
        <v>9</v>
      </c>
      <c r="AQ17" s="2" t="str">
        <f ca="1"/>
        <v>PROJ</v>
      </c>
      <c r="AR17" s="2">
        <f ca="1"/>
        <v>9</v>
      </c>
      <c r="AS17" s="2">
        <f ca="1"/>
        <v>39</v>
      </c>
      <c r="AT17" s="2" t="str">
        <f ca="1"/>
        <v>Wk 39</v>
      </c>
      <c r="AU17" s="2" t="str">
        <f ca="1"/>
        <v>5</v>
      </c>
      <c r="AV17" s="2" t="str">
        <f ca="1"/>
        <v>540:549,552:557</v>
      </c>
      <c r="AW17" s="2">
        <f ca="1"/>
        <v>16</v>
      </c>
      <c r="AX17" s="2" t="b">
        <f ca="1"/>
        <v>0</v>
      </c>
      <c r="AY17" s="2" t="str">
        <f ca="1"/>
        <v>--</v>
      </c>
      <c r="AZ17" s="2" t="str">
        <f ca="1"/>
        <v>--</v>
      </c>
      <c r="BA17" s="2" t="str">
        <f ca="1"/>
        <v>(09/21/26-09/27/26)</v>
      </c>
      <c r="BB17" s="2" t="b">
        <f ca="1"/>
        <v>0</v>
      </c>
      <c r="BC17" s="2">
        <f ca="1"/>
        <v>46289</v>
      </c>
      <c r="BD17" s="2">
        <f ca="1"/>
        <v>5</v>
      </c>
      <c r="BE17" s="2" t="b">
        <f ca="1"/>
        <v>0</v>
      </c>
      <c r="BF17" s="2">
        <f ca="1"/>
        <v>46294</v>
      </c>
      <c r="BG17" s="2" t="str">
        <f ca="1"/>
        <v>--</v>
      </c>
      <c r="BH17" s="2">
        <f ca="1"/>
        <v>20</v>
      </c>
      <c r="BI17" s="2" t="b">
        <f ca="1"/>
        <v>0</v>
      </c>
      <c r="BJ17" s="2">
        <f ca="1"/>
        <v>46314</v>
      </c>
      <c r="BK17" s="2">
        <f ca="1"/>
        <v>5</v>
      </c>
      <c r="BL17" s="2" t="b">
        <f ca="1"/>
        <v>0</v>
      </c>
      <c r="BM17" s="2" t="b">
        <f ca="1"/>
        <v>0</v>
      </c>
      <c r="BN17" s="2">
        <f ca="1"/>
        <v>46319</v>
      </c>
      <c r="BO17" s="2" t="str">
        <f ca="1"/>
        <v>Sat</v>
      </c>
      <c r="BP17" s="2" t="str">
        <f ca="1"/>
        <v>--</v>
      </c>
      <c r="BQ17" s="2" t="str">
        <f ca="1"/>
        <v>--</v>
      </c>
      <c r="BR17" s="2" t="b">
        <f ca="1"/>
        <v>0</v>
      </c>
      <c r="BS17" s="2" t="b">
        <f ca="1"/>
        <v>0</v>
      </c>
      <c r="BT17" s="2" t="b">
        <f ca="1"/>
        <v>0</v>
      </c>
      <c r="BU17" s="2">
        <f ca="1"/>
        <v>46314</v>
      </c>
      <c r="BV17" s="2" t="str">
        <f ca="1"/>
        <v>+5 days</v>
      </c>
      <c r="BW17" s="2">
        <f ca="1"/>
        <v>5</v>
      </c>
      <c r="BX17" s="2">
        <f ca="1"/>
        <v>30</v>
      </c>
      <c r="BY17" s="2" t="str">
        <f ca="1"/>
        <v>--</v>
      </c>
    </row>
    <row r="18" spans="3:77" ht="27" customHeight="1" x14ac:dyDescent="0.2">
      <c r="C18" s="140">
        <v>9</v>
      </c>
      <c r="D18" s="141" t="str">
        <v>PROJ</v>
      </c>
      <c r="E18" s="142">
        <v>11</v>
      </c>
      <c r="F18" s="143">
        <v>40</v>
      </c>
      <c r="G18" s="144" t="str">
        <v>Wk 40</v>
      </c>
      <c r="H18" s="145" t="str">
        <v>6</v>
      </c>
      <c r="I18" s="146" t="str">
        <v>618:635</v>
      </c>
      <c r="J18" s="137">
        <v>18</v>
      </c>
      <c r="K18" s="154" t="b">
        <v>0</v>
      </c>
      <c r="L18" s="132" t="str">
        <v>--</v>
      </c>
      <c r="M18" s="132" t="str">
        <v>--</v>
      </c>
      <c r="N18" s="132" t="str">
        <v>(09/28/26-10/04/26)</v>
      </c>
      <c r="O18" s="154" t="b">
        <v>0</v>
      </c>
      <c r="P18" s="147">
        <v>46296</v>
      </c>
      <c r="Q18" s="138">
        <v>5</v>
      </c>
      <c r="R18" s="154" t="b">
        <v>0</v>
      </c>
      <c r="S18" s="147">
        <v>46301</v>
      </c>
      <c r="T18" s="132" t="str">
        <v>--</v>
      </c>
      <c r="U18" s="138">
        <v>20</v>
      </c>
      <c r="V18" s="154" t="b">
        <v>0</v>
      </c>
      <c r="W18" s="147">
        <v>46321</v>
      </c>
      <c r="X18" s="138">
        <v>5</v>
      </c>
      <c r="Y18" s="154" t="b">
        <v>0</v>
      </c>
      <c r="Z18" s="154" t="b">
        <v>0</v>
      </c>
      <c r="AA18" s="147">
        <v>46326</v>
      </c>
      <c r="AB18" s="148" t="str">
        <v>Sat</v>
      </c>
      <c r="AC18" s="149" t="str">
        <v>--</v>
      </c>
      <c r="AD18" s="132" t="str">
        <v>--</v>
      </c>
      <c r="AE18" s="154" t="b">
        <v>0</v>
      </c>
      <c r="AF18" s="228" t="b">
        <v>0</v>
      </c>
      <c r="AG18" s="154" t="b">
        <v>0</v>
      </c>
      <c r="AH18" s="139">
        <v>46328</v>
      </c>
      <c r="AI18" s="150" t="str">
        <v>-2 days</v>
      </c>
      <c r="AJ18" s="138">
        <v>-2</v>
      </c>
      <c r="AK18" s="151">
        <v>30</v>
      </c>
      <c r="AL18" s="152" t="str">
        <v>--</v>
      </c>
      <c r="AP18" s="2">
        <f ca="1"/>
        <v>9</v>
      </c>
      <c r="AQ18" s="2" t="str">
        <f ca="1"/>
        <v>PROJ</v>
      </c>
      <c r="AR18" s="2">
        <f ca="1"/>
        <v>10</v>
      </c>
      <c r="AS18" s="2">
        <f ca="1"/>
        <v>40</v>
      </c>
      <c r="AT18" s="2" t="str">
        <f ca="1"/>
        <v>Wk 40</v>
      </c>
      <c r="AU18" s="2" t="str">
        <f ca="1"/>
        <v>5,6</v>
      </c>
      <c r="AV18" s="2" t="str">
        <f ca="1"/>
        <v>558,601:617</v>
      </c>
      <c r="AW18" s="2">
        <f ca="1"/>
        <v>18</v>
      </c>
      <c r="AX18" s="2" t="b">
        <f ca="1"/>
        <v>0</v>
      </c>
      <c r="AY18" s="2" t="str">
        <f ca="1"/>
        <v>--</v>
      </c>
      <c r="AZ18" s="2" t="str">
        <f ca="1"/>
        <v>--</v>
      </c>
      <c r="BA18" s="2" t="str">
        <f ca="1"/>
        <v>(09/28/26-10/04/26)</v>
      </c>
      <c r="BB18" s="2" t="b">
        <f ca="1"/>
        <v>0</v>
      </c>
      <c r="BC18" s="2">
        <f ca="1"/>
        <v>46296</v>
      </c>
      <c r="BD18" s="2">
        <f ca="1"/>
        <v>5</v>
      </c>
      <c r="BE18" s="2" t="b">
        <f ca="1"/>
        <v>0</v>
      </c>
      <c r="BF18" s="2">
        <f ca="1"/>
        <v>46301</v>
      </c>
      <c r="BG18" s="2" t="str">
        <f ca="1"/>
        <v>--</v>
      </c>
      <c r="BH18" s="2">
        <f ca="1"/>
        <v>20</v>
      </c>
      <c r="BI18" s="2" t="b">
        <f ca="1"/>
        <v>0</v>
      </c>
      <c r="BJ18" s="2">
        <f ca="1"/>
        <v>46321</v>
      </c>
      <c r="BK18" s="2">
        <f ca="1"/>
        <v>5</v>
      </c>
      <c r="BL18" s="2" t="b">
        <f ca="1"/>
        <v>0</v>
      </c>
      <c r="BM18" s="2" t="b">
        <f ca="1"/>
        <v>0</v>
      </c>
      <c r="BN18" s="2">
        <f ca="1"/>
        <v>46326</v>
      </c>
      <c r="BO18" s="2" t="str">
        <f ca="1"/>
        <v>Sat</v>
      </c>
      <c r="BP18" s="2" t="str">
        <f ca="1"/>
        <v>--</v>
      </c>
      <c r="BQ18" s="2" t="str">
        <f ca="1"/>
        <v>--</v>
      </c>
      <c r="BR18" s="2" t="b">
        <f ca="1"/>
        <v>0</v>
      </c>
      <c r="BS18" s="2" t="b">
        <f ca="1"/>
        <v>0</v>
      </c>
      <c r="BT18" s="2" t="b">
        <f ca="1"/>
        <v>0</v>
      </c>
      <c r="BU18" s="2">
        <f ca="1"/>
        <v>46314</v>
      </c>
      <c r="BV18" s="2" t="str">
        <f ca="1"/>
        <v>+12 days</v>
      </c>
      <c r="BW18" s="2">
        <f ca="1"/>
        <v>12</v>
      </c>
      <c r="BX18" s="2">
        <f ca="1"/>
        <v>30</v>
      </c>
      <c r="BY18" s="2" t="str">
        <f ca="1"/>
        <v>--</v>
      </c>
    </row>
    <row r="19" spans="3:77" ht="27" customHeight="1" x14ac:dyDescent="0.2">
      <c r="C19" s="140">
        <v>9</v>
      </c>
      <c r="D19" s="141" t="str">
        <v>PROJ</v>
      </c>
      <c r="E19" s="142">
        <v>12</v>
      </c>
      <c r="F19" s="143">
        <v>41</v>
      </c>
      <c r="G19" s="144" t="str">
        <v>Wk 41</v>
      </c>
      <c r="H19" s="145" t="str">
        <v>6</v>
      </c>
      <c r="I19" s="146" t="str">
        <v>636:649,652:653</v>
      </c>
      <c r="J19" s="137">
        <v>16</v>
      </c>
      <c r="K19" s="154" t="b">
        <v>0</v>
      </c>
      <c r="L19" s="132" t="str">
        <v>--</v>
      </c>
      <c r="M19" s="132" t="str">
        <v>--</v>
      </c>
      <c r="N19" s="132" t="str">
        <v>(10/05/26-10/11/26)</v>
      </c>
      <c r="O19" s="154" t="b">
        <v>0</v>
      </c>
      <c r="P19" s="147">
        <v>46303</v>
      </c>
      <c r="Q19" s="138">
        <v>5</v>
      </c>
      <c r="R19" s="154" t="b">
        <v>0</v>
      </c>
      <c r="S19" s="147">
        <v>46308</v>
      </c>
      <c r="T19" s="132" t="str">
        <v>--</v>
      </c>
      <c r="U19" s="138">
        <v>20</v>
      </c>
      <c r="V19" s="154" t="b">
        <v>0</v>
      </c>
      <c r="W19" s="147">
        <v>46328</v>
      </c>
      <c r="X19" s="138">
        <v>5</v>
      </c>
      <c r="Y19" s="154" t="b">
        <v>0</v>
      </c>
      <c r="Z19" s="154" t="b">
        <v>0</v>
      </c>
      <c r="AA19" s="147">
        <v>46333</v>
      </c>
      <c r="AB19" s="148" t="str">
        <v>Sat</v>
      </c>
      <c r="AC19" s="149" t="str">
        <v>--</v>
      </c>
      <c r="AD19" s="132" t="str">
        <v>--</v>
      </c>
      <c r="AE19" s="154" t="b">
        <v>0</v>
      </c>
      <c r="AF19" s="228" t="b">
        <v>0</v>
      </c>
      <c r="AG19" s="154" t="b">
        <v>0</v>
      </c>
      <c r="AH19" s="139">
        <v>46328</v>
      </c>
      <c r="AI19" s="150" t="str">
        <v>+5 days</v>
      </c>
      <c r="AJ19" s="138">
        <v>5</v>
      </c>
      <c r="AK19" s="151">
        <v>30</v>
      </c>
      <c r="AL19" s="152" t="str">
        <v>--</v>
      </c>
      <c r="AP19" s="2">
        <f ca="1"/>
        <v>9</v>
      </c>
      <c r="AQ19" s="2" t="str">
        <f ca="1"/>
        <v>PROJ</v>
      </c>
      <c r="AR19" s="2">
        <f ca="1"/>
        <v>11</v>
      </c>
      <c r="AS19" s="2">
        <f ca="1"/>
        <v>40</v>
      </c>
      <c r="AT19" s="2" t="str">
        <f ca="1"/>
        <v>Wk 40</v>
      </c>
      <c r="AU19" s="2" t="str">
        <f ca="1"/>
        <v>6</v>
      </c>
      <c r="AV19" s="2" t="str">
        <f ca="1"/>
        <v>618:635</v>
      </c>
      <c r="AW19" s="2">
        <f ca="1"/>
        <v>18</v>
      </c>
      <c r="AX19" s="2" t="b">
        <f ca="1"/>
        <v>0</v>
      </c>
      <c r="AY19" s="2" t="str">
        <f ca="1"/>
        <v>--</v>
      </c>
      <c r="AZ19" s="2" t="str">
        <f ca="1"/>
        <v>--</v>
      </c>
      <c r="BA19" s="2" t="str">
        <f ca="1"/>
        <v>(09/28/26-10/04/26)</v>
      </c>
      <c r="BB19" s="2" t="b">
        <f ca="1"/>
        <v>0</v>
      </c>
      <c r="BC19" s="2">
        <f ca="1"/>
        <v>46296</v>
      </c>
      <c r="BD19" s="2">
        <f ca="1"/>
        <v>5</v>
      </c>
      <c r="BE19" s="2" t="b">
        <f ca="1"/>
        <v>0</v>
      </c>
      <c r="BF19" s="2">
        <f ca="1"/>
        <v>46301</v>
      </c>
      <c r="BG19" s="2" t="str">
        <f ca="1"/>
        <v>--</v>
      </c>
      <c r="BH19" s="2">
        <f ca="1"/>
        <v>20</v>
      </c>
      <c r="BI19" s="2" t="b">
        <f ca="1"/>
        <v>0</v>
      </c>
      <c r="BJ19" s="2">
        <f ca="1"/>
        <v>46321</v>
      </c>
      <c r="BK19" s="2">
        <f ca="1"/>
        <v>5</v>
      </c>
      <c r="BL19" s="2" t="b">
        <f ca="1"/>
        <v>0</v>
      </c>
      <c r="BM19" s="2" t="b">
        <f ca="1"/>
        <v>0</v>
      </c>
      <c r="BN19" s="2">
        <f ca="1"/>
        <v>46326</v>
      </c>
      <c r="BO19" s="2" t="str">
        <f ca="1"/>
        <v>Sat</v>
      </c>
      <c r="BP19" s="2" t="str">
        <f ca="1"/>
        <v>--</v>
      </c>
      <c r="BQ19" s="2" t="str">
        <f ca="1"/>
        <v>--</v>
      </c>
      <c r="BR19" s="2" t="b">
        <f ca="1"/>
        <v>0</v>
      </c>
      <c r="BS19" s="2" t="b">
        <f ca="1"/>
        <v>0</v>
      </c>
      <c r="BT19" s="2" t="b">
        <f ca="1"/>
        <v>0</v>
      </c>
      <c r="BU19" s="2">
        <f ca="1"/>
        <v>46328</v>
      </c>
      <c r="BV19" s="2" t="str">
        <f ca="1"/>
        <v>-2 days</v>
      </c>
      <c r="BW19" s="2">
        <f ca="1"/>
        <v>-2</v>
      </c>
      <c r="BX19" s="2">
        <f ca="1"/>
        <v>30</v>
      </c>
      <c r="BY19" s="2" t="str">
        <f ca="1"/>
        <v>--</v>
      </c>
    </row>
    <row r="20" spans="3:77" ht="27" customHeight="1" x14ac:dyDescent="0.2">
      <c r="C20" s="140">
        <v>9</v>
      </c>
      <c r="D20" s="141" t="str">
        <v>PROJ</v>
      </c>
      <c r="E20" s="142">
        <v>13</v>
      </c>
      <c r="F20" s="143">
        <v>41</v>
      </c>
      <c r="G20" s="144" t="str">
        <v>Wk 41</v>
      </c>
      <c r="H20" s="145" t="str">
        <v>6,7</v>
      </c>
      <c r="I20" s="146" t="str">
        <v>654:658,701:713</v>
      </c>
      <c r="J20" s="137">
        <v>18</v>
      </c>
      <c r="K20" s="154" t="b">
        <v>0</v>
      </c>
      <c r="L20" s="132" t="str">
        <v>--</v>
      </c>
      <c r="M20" s="132" t="str">
        <v>--</v>
      </c>
      <c r="N20" s="132" t="str">
        <v>(10/05/26-10/11/26)</v>
      </c>
      <c r="O20" s="154" t="b">
        <v>0</v>
      </c>
      <c r="P20" s="147">
        <v>46303</v>
      </c>
      <c r="Q20" s="138">
        <v>5</v>
      </c>
      <c r="R20" s="154" t="b">
        <v>0</v>
      </c>
      <c r="S20" s="147">
        <v>46308</v>
      </c>
      <c r="T20" s="132" t="str">
        <v>--</v>
      </c>
      <c r="U20" s="138">
        <v>20</v>
      </c>
      <c r="V20" s="154" t="b">
        <v>0</v>
      </c>
      <c r="W20" s="147">
        <v>46328</v>
      </c>
      <c r="X20" s="138">
        <v>5</v>
      </c>
      <c r="Y20" s="154" t="b">
        <v>0</v>
      </c>
      <c r="Z20" s="154" t="b">
        <v>0</v>
      </c>
      <c r="AA20" s="147">
        <v>46333</v>
      </c>
      <c r="AB20" s="148" t="str">
        <v>Sat</v>
      </c>
      <c r="AC20" s="149" t="str">
        <v>--</v>
      </c>
      <c r="AD20" s="132" t="str">
        <v>--</v>
      </c>
      <c r="AE20" s="154" t="b">
        <v>0</v>
      </c>
      <c r="AF20" s="228" t="b">
        <v>0</v>
      </c>
      <c r="AG20" s="154" t="b">
        <v>0</v>
      </c>
      <c r="AH20" s="139">
        <v>46328</v>
      </c>
      <c r="AI20" s="150" t="str">
        <v>+5 days</v>
      </c>
      <c r="AJ20" s="138">
        <v>5</v>
      </c>
      <c r="AK20" s="151">
        <v>30</v>
      </c>
      <c r="AL20" s="152" t="str">
        <v>--</v>
      </c>
      <c r="AP20" s="2">
        <f ca="1"/>
        <v>9</v>
      </c>
      <c r="AQ20" s="2" t="str">
        <f ca="1"/>
        <v>PROJ</v>
      </c>
      <c r="AR20" s="2">
        <f ca="1"/>
        <v>12</v>
      </c>
      <c r="AS20" s="2">
        <f ca="1"/>
        <v>41</v>
      </c>
      <c r="AT20" s="2" t="str">
        <f ca="1"/>
        <v>Wk 41</v>
      </c>
      <c r="AU20" s="2" t="str">
        <f ca="1"/>
        <v>6</v>
      </c>
      <c r="AV20" s="2" t="str">
        <f ca="1"/>
        <v>636:649,652:653</v>
      </c>
      <c r="AW20" s="2">
        <f ca="1"/>
        <v>16</v>
      </c>
      <c r="AX20" s="2" t="b">
        <f ca="1"/>
        <v>0</v>
      </c>
      <c r="AY20" s="2" t="str">
        <f ca="1"/>
        <v>--</v>
      </c>
      <c r="AZ20" s="2" t="str">
        <f ca="1"/>
        <v>--</v>
      </c>
      <c r="BA20" s="2" t="str">
        <f ca="1"/>
        <v>(10/05/26-10/11/26)</v>
      </c>
      <c r="BB20" s="2" t="b">
        <f ca="1"/>
        <v>0</v>
      </c>
      <c r="BC20" s="2">
        <f ca="1"/>
        <v>46303</v>
      </c>
      <c r="BD20" s="2">
        <f ca="1"/>
        <v>5</v>
      </c>
      <c r="BE20" s="2" t="b">
        <f ca="1"/>
        <v>0</v>
      </c>
      <c r="BF20" s="2">
        <f ca="1"/>
        <v>46308</v>
      </c>
      <c r="BG20" s="2" t="str">
        <f ca="1"/>
        <v>--</v>
      </c>
      <c r="BH20" s="2">
        <f ca="1"/>
        <v>20</v>
      </c>
      <c r="BI20" s="2" t="b">
        <f ca="1"/>
        <v>0</v>
      </c>
      <c r="BJ20" s="2">
        <f ca="1"/>
        <v>46328</v>
      </c>
      <c r="BK20" s="2">
        <f ca="1"/>
        <v>5</v>
      </c>
      <c r="BL20" s="2" t="b">
        <f ca="1"/>
        <v>0</v>
      </c>
      <c r="BM20" s="2" t="b">
        <f ca="1"/>
        <v>0</v>
      </c>
      <c r="BN20" s="2">
        <f ca="1"/>
        <v>46333</v>
      </c>
      <c r="BO20" s="2" t="str">
        <f ca="1"/>
        <v>Sat</v>
      </c>
      <c r="BP20" s="2" t="str">
        <f ca="1"/>
        <v>--</v>
      </c>
      <c r="BQ20" s="2" t="str">
        <f ca="1"/>
        <v>--</v>
      </c>
      <c r="BR20" s="2" t="b">
        <f ca="1"/>
        <v>0</v>
      </c>
      <c r="BS20" s="2" t="b">
        <f ca="1"/>
        <v>0</v>
      </c>
      <c r="BT20" s="2" t="b">
        <f ca="1"/>
        <v>0</v>
      </c>
      <c r="BU20" s="2">
        <f ca="1"/>
        <v>46328</v>
      </c>
      <c r="BV20" s="2" t="str">
        <f ca="1"/>
        <v>+5 days</v>
      </c>
      <c r="BW20" s="2">
        <f ca="1"/>
        <v>5</v>
      </c>
      <c r="BX20" s="2">
        <f ca="1"/>
        <v>30</v>
      </c>
      <c r="BY20" s="2" t="str">
        <f ca="1"/>
        <v>--</v>
      </c>
    </row>
    <row r="21" spans="3:77" ht="27" customHeight="1" x14ac:dyDescent="0.2">
      <c r="C21" s="140">
        <v>9</v>
      </c>
      <c r="D21" s="141" t="str">
        <v>PROJ</v>
      </c>
      <c r="E21" s="142">
        <v>14</v>
      </c>
      <c r="F21" s="143">
        <v>42</v>
      </c>
      <c r="G21" s="144" t="str">
        <v>Wk 42</v>
      </c>
      <c r="H21" s="145" t="str">
        <v>7</v>
      </c>
      <c r="I21" s="146" t="str">
        <v>714:731</v>
      </c>
      <c r="J21" s="137">
        <v>18</v>
      </c>
      <c r="K21" s="154" t="b">
        <v>0</v>
      </c>
      <c r="L21" s="132" t="str">
        <v>--</v>
      </c>
      <c r="M21" s="132" t="str">
        <v>--</v>
      </c>
      <c r="N21" s="132" t="str">
        <v>(10/12/26-10/18/26)</v>
      </c>
      <c r="O21" s="154" t="b">
        <v>0</v>
      </c>
      <c r="P21" s="147">
        <v>46310</v>
      </c>
      <c r="Q21" s="138">
        <v>5</v>
      </c>
      <c r="R21" s="154" t="b">
        <v>0</v>
      </c>
      <c r="S21" s="147">
        <v>46315</v>
      </c>
      <c r="T21" s="132" t="str">
        <v>--</v>
      </c>
      <c r="U21" s="138">
        <v>20</v>
      </c>
      <c r="V21" s="154" t="b">
        <v>0</v>
      </c>
      <c r="W21" s="147">
        <v>46335</v>
      </c>
      <c r="X21" s="138">
        <v>5</v>
      </c>
      <c r="Y21" s="154" t="b">
        <v>0</v>
      </c>
      <c r="Z21" s="154" t="b">
        <v>0</v>
      </c>
      <c r="AA21" s="147">
        <v>46340</v>
      </c>
      <c r="AB21" s="148" t="str">
        <v>Sat</v>
      </c>
      <c r="AC21" s="149" t="str">
        <v>--</v>
      </c>
      <c r="AD21" s="132" t="str">
        <v>--</v>
      </c>
      <c r="AE21" s="154" t="b">
        <v>0</v>
      </c>
      <c r="AF21" s="228" t="b">
        <v>0</v>
      </c>
      <c r="AG21" s="154" t="b">
        <v>0</v>
      </c>
      <c r="AH21" s="139">
        <v>46342</v>
      </c>
      <c r="AI21" s="150" t="str">
        <v>-2 days</v>
      </c>
      <c r="AJ21" s="138">
        <v>-2</v>
      </c>
      <c r="AK21" s="151">
        <v>30</v>
      </c>
      <c r="AL21" s="152" t="str">
        <v>--</v>
      </c>
      <c r="AP21" s="2">
        <f ca="1"/>
        <v>9</v>
      </c>
      <c r="AQ21" s="2" t="str">
        <f ca="1"/>
        <v>PROJ</v>
      </c>
      <c r="AR21" s="2">
        <f ca="1"/>
        <v>13</v>
      </c>
      <c r="AS21" s="2">
        <f ca="1"/>
        <v>41</v>
      </c>
      <c r="AT21" s="2" t="str">
        <f ca="1"/>
        <v>Wk 41</v>
      </c>
      <c r="AU21" s="2" t="str">
        <f ca="1"/>
        <v>6,7</v>
      </c>
      <c r="AV21" s="2" t="str">
        <f ca="1"/>
        <v>654:658,701:713</v>
      </c>
      <c r="AW21" s="2">
        <f ca="1"/>
        <v>18</v>
      </c>
      <c r="AX21" s="2" t="b">
        <f ca="1"/>
        <v>0</v>
      </c>
      <c r="AY21" s="2" t="str">
        <f ca="1"/>
        <v>--</v>
      </c>
      <c r="AZ21" s="2" t="str">
        <f ca="1"/>
        <v>--</v>
      </c>
      <c r="BA21" s="2" t="str">
        <f ca="1"/>
        <v>(10/05/26-10/11/26)</v>
      </c>
      <c r="BB21" s="2" t="b">
        <f ca="1"/>
        <v>0</v>
      </c>
      <c r="BC21" s="2">
        <f ca="1"/>
        <v>46303</v>
      </c>
      <c r="BD21" s="2">
        <f ca="1"/>
        <v>5</v>
      </c>
      <c r="BE21" s="2" t="b">
        <f ca="1"/>
        <v>0</v>
      </c>
      <c r="BF21" s="2">
        <f ca="1"/>
        <v>46308</v>
      </c>
      <c r="BG21" s="2" t="str">
        <f ca="1"/>
        <v>--</v>
      </c>
      <c r="BH21" s="2">
        <f ca="1"/>
        <v>20</v>
      </c>
      <c r="BI21" s="2" t="b">
        <f ca="1"/>
        <v>0</v>
      </c>
      <c r="BJ21" s="2">
        <f ca="1"/>
        <v>46328</v>
      </c>
      <c r="BK21" s="2">
        <f ca="1"/>
        <v>5</v>
      </c>
      <c r="BL21" s="2" t="b">
        <f ca="1"/>
        <v>0</v>
      </c>
      <c r="BM21" s="2" t="b">
        <f ca="1"/>
        <v>0</v>
      </c>
      <c r="BN21" s="2">
        <f ca="1"/>
        <v>46333</v>
      </c>
      <c r="BO21" s="2" t="str">
        <f ca="1"/>
        <v>Sat</v>
      </c>
      <c r="BP21" s="2" t="str">
        <f ca="1"/>
        <v>--</v>
      </c>
      <c r="BQ21" s="2" t="str">
        <f ca="1"/>
        <v>--</v>
      </c>
      <c r="BR21" s="2" t="b">
        <f ca="1"/>
        <v>0</v>
      </c>
      <c r="BS21" s="2" t="b">
        <f ca="1"/>
        <v>0</v>
      </c>
      <c r="BT21" s="2" t="b">
        <f ca="1"/>
        <v>0</v>
      </c>
      <c r="BU21" s="2">
        <f ca="1"/>
        <v>46328</v>
      </c>
      <c r="BV21" s="2" t="str">
        <f ca="1"/>
        <v>+5 days</v>
      </c>
      <c r="BW21" s="2">
        <f ca="1"/>
        <v>5</v>
      </c>
      <c r="BX21" s="2">
        <f ca="1"/>
        <v>30</v>
      </c>
      <c r="BY21" s="2" t="str">
        <f ca="1"/>
        <v>--</v>
      </c>
    </row>
    <row r="22" spans="3:77" ht="27" customHeight="1" x14ac:dyDescent="0.2">
      <c r="C22" s="140">
        <v>9</v>
      </c>
      <c r="D22" s="141" t="str">
        <v>PROJ</v>
      </c>
      <c r="E22" s="142">
        <v>15</v>
      </c>
      <c r="F22" s="143">
        <v>42</v>
      </c>
      <c r="G22" s="144" t="str">
        <v>Wk 42</v>
      </c>
      <c r="H22" s="145" t="str">
        <v>7</v>
      </c>
      <c r="I22" s="146" t="str">
        <v>732:749</v>
      </c>
      <c r="J22" s="137">
        <v>18</v>
      </c>
      <c r="K22" s="154" t="b">
        <v>0</v>
      </c>
      <c r="L22" s="132" t="str">
        <v>--</v>
      </c>
      <c r="M22" s="132" t="str">
        <v>--</v>
      </c>
      <c r="N22" s="132" t="str">
        <v>(10/12/26-10/18/26)</v>
      </c>
      <c r="O22" s="154" t="b">
        <v>0</v>
      </c>
      <c r="P22" s="147">
        <v>46310</v>
      </c>
      <c r="Q22" s="138">
        <v>5</v>
      </c>
      <c r="R22" s="154" t="b">
        <v>0</v>
      </c>
      <c r="S22" s="147">
        <v>46315</v>
      </c>
      <c r="T22" s="132" t="str">
        <v>--</v>
      </c>
      <c r="U22" s="138">
        <v>20</v>
      </c>
      <c r="V22" s="154" t="b">
        <v>0</v>
      </c>
      <c r="W22" s="147">
        <v>46335</v>
      </c>
      <c r="X22" s="138">
        <v>5</v>
      </c>
      <c r="Y22" s="154" t="b">
        <v>0</v>
      </c>
      <c r="Z22" s="154" t="b">
        <v>0</v>
      </c>
      <c r="AA22" s="147">
        <v>46340</v>
      </c>
      <c r="AB22" s="148" t="str">
        <v>Sat</v>
      </c>
      <c r="AC22" s="149" t="str">
        <v>--</v>
      </c>
      <c r="AD22" s="132" t="str">
        <v>--</v>
      </c>
      <c r="AE22" s="154" t="b">
        <v>0</v>
      </c>
      <c r="AF22" s="228" t="b">
        <v>0</v>
      </c>
      <c r="AG22" s="154" t="b">
        <v>0</v>
      </c>
      <c r="AH22" s="139">
        <v>46342</v>
      </c>
      <c r="AI22" s="150" t="str">
        <v>-2 days</v>
      </c>
      <c r="AJ22" s="138">
        <v>-2</v>
      </c>
      <c r="AK22" s="151">
        <v>30</v>
      </c>
      <c r="AL22" s="152" t="str">
        <v>--</v>
      </c>
      <c r="AP22" s="2">
        <f ca="1"/>
        <v>9</v>
      </c>
      <c r="AQ22" s="2" t="str">
        <f ca="1"/>
        <v>PROJ</v>
      </c>
      <c r="AR22" s="2">
        <f ca="1"/>
        <v>14</v>
      </c>
      <c r="AS22" s="2">
        <f ca="1"/>
        <v>42</v>
      </c>
      <c r="AT22" s="2" t="str">
        <f ca="1"/>
        <v>Wk 42</v>
      </c>
      <c r="AU22" s="2" t="str">
        <f ca="1"/>
        <v>7</v>
      </c>
      <c r="AV22" s="2" t="str">
        <f ca="1"/>
        <v>714:731</v>
      </c>
      <c r="AW22" s="2">
        <f ca="1"/>
        <v>18</v>
      </c>
      <c r="AX22" s="2" t="b">
        <f ca="1"/>
        <v>0</v>
      </c>
      <c r="AY22" s="2" t="str">
        <f ca="1"/>
        <v>--</v>
      </c>
      <c r="AZ22" s="2" t="str">
        <f ca="1"/>
        <v>--</v>
      </c>
      <c r="BA22" s="2" t="str">
        <f ca="1"/>
        <v>(10/12/26-10/18/26)</v>
      </c>
      <c r="BB22" s="2" t="b">
        <f ca="1"/>
        <v>0</v>
      </c>
      <c r="BC22" s="2">
        <f ca="1"/>
        <v>46310</v>
      </c>
      <c r="BD22" s="2">
        <f ca="1"/>
        <v>5</v>
      </c>
      <c r="BE22" s="2" t="b">
        <f ca="1"/>
        <v>0</v>
      </c>
      <c r="BF22" s="2">
        <f ca="1"/>
        <v>46315</v>
      </c>
      <c r="BG22" s="2" t="str">
        <f ca="1"/>
        <v>--</v>
      </c>
      <c r="BH22" s="2">
        <f ca="1"/>
        <v>20</v>
      </c>
      <c r="BI22" s="2" t="b">
        <f ca="1"/>
        <v>0</v>
      </c>
      <c r="BJ22" s="2">
        <f ca="1"/>
        <v>46335</v>
      </c>
      <c r="BK22" s="2">
        <f ca="1"/>
        <v>5</v>
      </c>
      <c r="BL22" s="2" t="b">
        <f ca="1"/>
        <v>0</v>
      </c>
      <c r="BM22" s="2" t="b">
        <f ca="1"/>
        <v>0</v>
      </c>
      <c r="BN22" s="2">
        <f ca="1"/>
        <v>46340</v>
      </c>
      <c r="BO22" s="2" t="str">
        <f ca="1"/>
        <v>Sat</v>
      </c>
      <c r="BP22" s="2" t="str">
        <f ca="1"/>
        <v>--</v>
      </c>
      <c r="BQ22" s="2" t="str">
        <f ca="1"/>
        <v>--</v>
      </c>
      <c r="BR22" s="2" t="b">
        <f ca="1"/>
        <v>0</v>
      </c>
      <c r="BS22" s="2" t="b">
        <f ca="1"/>
        <v>0</v>
      </c>
      <c r="BT22" s="2" t="b">
        <f ca="1"/>
        <v>0</v>
      </c>
      <c r="BU22" s="2">
        <f ca="1"/>
        <v>46342</v>
      </c>
      <c r="BV22" s="2" t="str">
        <f ca="1"/>
        <v>-2 days</v>
      </c>
      <c r="BW22" s="2">
        <f ca="1"/>
        <v>-2</v>
      </c>
      <c r="BX22" s="2">
        <f ca="1"/>
        <v>30</v>
      </c>
      <c r="BY22" s="2" t="str">
        <f ca="1"/>
        <v>--</v>
      </c>
    </row>
    <row r="23" spans="3:77" ht="27" customHeight="1" x14ac:dyDescent="0.2">
      <c r="C23" s="140">
        <v>9</v>
      </c>
      <c r="D23" s="141" t="str">
        <v>PROJ</v>
      </c>
      <c r="E23" s="142">
        <v>16</v>
      </c>
      <c r="F23" s="143">
        <v>43</v>
      </c>
      <c r="G23" s="144" t="str">
        <v>Wk 43</v>
      </c>
      <c r="H23" s="145" t="str">
        <v>7,8</v>
      </c>
      <c r="I23" s="146" t="str">
        <v>752:758,801:809</v>
      </c>
      <c r="J23" s="137">
        <v>16</v>
      </c>
      <c r="K23" s="154" t="b">
        <v>0</v>
      </c>
      <c r="L23" s="132" t="str">
        <v>--</v>
      </c>
      <c r="M23" s="132" t="str">
        <v>--</v>
      </c>
      <c r="N23" s="132" t="str">
        <v>(10/19/26-10/25/26)</v>
      </c>
      <c r="O23" s="154" t="b">
        <v>0</v>
      </c>
      <c r="P23" s="147">
        <v>46317</v>
      </c>
      <c r="Q23" s="138">
        <v>5</v>
      </c>
      <c r="R23" s="154" t="b">
        <v>0</v>
      </c>
      <c r="S23" s="147">
        <v>46322</v>
      </c>
      <c r="T23" s="132" t="str">
        <v>--</v>
      </c>
      <c r="U23" s="138">
        <v>20</v>
      </c>
      <c r="V23" s="154" t="b">
        <v>0</v>
      </c>
      <c r="W23" s="147">
        <v>46342</v>
      </c>
      <c r="X23" s="138">
        <v>5</v>
      </c>
      <c r="Y23" s="154" t="b">
        <v>0</v>
      </c>
      <c r="Z23" s="154" t="b">
        <v>0</v>
      </c>
      <c r="AA23" s="147">
        <v>46347</v>
      </c>
      <c r="AB23" s="148" t="str">
        <v>Sat</v>
      </c>
      <c r="AC23" s="149" t="str">
        <v>--</v>
      </c>
      <c r="AD23" s="132" t="str">
        <v>--</v>
      </c>
      <c r="AE23" s="154" t="b">
        <v>0</v>
      </c>
      <c r="AF23" s="228" t="b">
        <v>0</v>
      </c>
      <c r="AG23" s="154" t="b">
        <v>0</v>
      </c>
      <c r="AH23" s="139">
        <v>46342</v>
      </c>
      <c r="AI23" s="150" t="str">
        <v>+5 days</v>
      </c>
      <c r="AJ23" s="138">
        <v>5</v>
      </c>
      <c r="AK23" s="151">
        <v>30</v>
      </c>
      <c r="AL23" s="152" t="str">
        <v>--</v>
      </c>
      <c r="AP23" s="2">
        <f ca="1"/>
        <v>9</v>
      </c>
      <c r="AQ23" s="2" t="str">
        <f ca="1"/>
        <v>PROJ</v>
      </c>
      <c r="AR23" s="2">
        <f ca="1"/>
        <v>15</v>
      </c>
      <c r="AS23" s="2">
        <f ca="1"/>
        <v>42</v>
      </c>
      <c r="AT23" s="2" t="str">
        <f ca="1"/>
        <v>Wk 42</v>
      </c>
      <c r="AU23" s="2" t="str">
        <f ca="1"/>
        <v>7</v>
      </c>
      <c r="AV23" s="2" t="str">
        <f ca="1"/>
        <v>732:749</v>
      </c>
      <c r="AW23" s="2">
        <f ca="1"/>
        <v>18</v>
      </c>
      <c r="AX23" s="2" t="b">
        <f ca="1"/>
        <v>0</v>
      </c>
      <c r="AY23" s="2" t="str">
        <f ca="1"/>
        <v>--</v>
      </c>
      <c r="AZ23" s="2" t="str">
        <f ca="1"/>
        <v>--</v>
      </c>
      <c r="BA23" s="2" t="str">
        <f ca="1"/>
        <v>(10/12/26-10/18/26)</v>
      </c>
      <c r="BB23" s="2" t="b">
        <f ca="1"/>
        <v>0</v>
      </c>
      <c r="BC23" s="2">
        <f ca="1"/>
        <v>46310</v>
      </c>
      <c r="BD23" s="2">
        <f ca="1"/>
        <v>5</v>
      </c>
      <c r="BE23" s="2" t="b">
        <f ca="1"/>
        <v>0</v>
      </c>
      <c r="BF23" s="2">
        <f ca="1"/>
        <v>46315</v>
      </c>
      <c r="BG23" s="2" t="str">
        <f ca="1"/>
        <v>--</v>
      </c>
      <c r="BH23" s="2">
        <f ca="1"/>
        <v>20</v>
      </c>
      <c r="BI23" s="2" t="b">
        <f ca="1"/>
        <v>0</v>
      </c>
      <c r="BJ23" s="2">
        <f ca="1"/>
        <v>46335</v>
      </c>
      <c r="BK23" s="2">
        <f ca="1"/>
        <v>5</v>
      </c>
      <c r="BL23" s="2" t="b">
        <f ca="1"/>
        <v>0</v>
      </c>
      <c r="BM23" s="2" t="b">
        <f ca="1"/>
        <v>0</v>
      </c>
      <c r="BN23" s="2">
        <f ca="1"/>
        <v>46340</v>
      </c>
      <c r="BO23" s="2" t="str">
        <f ca="1"/>
        <v>Sat</v>
      </c>
      <c r="BP23" s="2" t="str">
        <f ca="1"/>
        <v>--</v>
      </c>
      <c r="BQ23" s="2" t="str">
        <f ca="1"/>
        <v>--</v>
      </c>
      <c r="BR23" s="2" t="b">
        <f ca="1"/>
        <v>0</v>
      </c>
      <c r="BS23" s="2" t="b">
        <f ca="1"/>
        <v>0</v>
      </c>
      <c r="BT23" s="2" t="b">
        <f ca="1"/>
        <v>0</v>
      </c>
      <c r="BU23" s="2">
        <f ca="1"/>
        <v>46342</v>
      </c>
      <c r="BV23" s="2" t="str">
        <f ca="1"/>
        <v>-2 days</v>
      </c>
      <c r="BW23" s="2">
        <f ca="1"/>
        <v>-2</v>
      </c>
      <c r="BX23" s="2">
        <f ca="1"/>
        <v>30</v>
      </c>
      <c r="BY23" s="2" t="str">
        <f ca="1"/>
        <v>--</v>
      </c>
    </row>
    <row r="24" spans="3:77" ht="27" customHeight="1" x14ac:dyDescent="0.2">
      <c r="C24" s="140">
        <v>9</v>
      </c>
      <c r="D24" s="141" t="str">
        <v>PROJ</v>
      </c>
      <c r="E24" s="142">
        <v>17</v>
      </c>
      <c r="F24" s="143">
        <v>44</v>
      </c>
      <c r="G24" s="144" t="str">
        <v>Wk 44</v>
      </c>
      <c r="H24" s="145" t="str">
        <v>8</v>
      </c>
      <c r="I24" s="146" t="str">
        <v>810:827</v>
      </c>
      <c r="J24" s="137">
        <v>18</v>
      </c>
      <c r="K24" s="154" t="b">
        <v>0</v>
      </c>
      <c r="L24" s="132" t="str">
        <v>--</v>
      </c>
      <c r="M24" s="132" t="str">
        <v>--</v>
      </c>
      <c r="N24" s="132" t="str">
        <v>(10/26/26-11/01/26)</v>
      </c>
      <c r="O24" s="154" t="b">
        <v>0</v>
      </c>
      <c r="P24" s="147">
        <v>46324</v>
      </c>
      <c r="Q24" s="138">
        <v>5</v>
      </c>
      <c r="R24" s="154" t="b">
        <v>0</v>
      </c>
      <c r="S24" s="147">
        <v>46329</v>
      </c>
      <c r="T24" s="132" t="str">
        <v>--</v>
      </c>
      <c r="U24" s="138">
        <v>20</v>
      </c>
      <c r="V24" s="154" t="b">
        <v>0</v>
      </c>
      <c r="W24" s="147">
        <v>46349</v>
      </c>
      <c r="X24" s="138">
        <v>5</v>
      </c>
      <c r="Y24" s="154" t="b">
        <v>0</v>
      </c>
      <c r="Z24" s="154" t="b">
        <v>0</v>
      </c>
      <c r="AA24" s="147">
        <v>46354</v>
      </c>
      <c r="AB24" s="148" t="str">
        <v>Sat</v>
      </c>
      <c r="AC24" s="149" t="str">
        <v>--</v>
      </c>
      <c r="AD24" s="132" t="str">
        <v>--</v>
      </c>
      <c r="AE24" s="154" t="b">
        <v>0</v>
      </c>
      <c r="AF24" s="228" t="b">
        <v>0</v>
      </c>
      <c r="AG24" s="154" t="b">
        <v>0</v>
      </c>
      <c r="AH24" s="139">
        <v>46356</v>
      </c>
      <c r="AI24" s="150" t="str">
        <v>-2 days</v>
      </c>
      <c r="AJ24" s="138">
        <v>-2</v>
      </c>
      <c r="AK24" s="151">
        <v>30</v>
      </c>
      <c r="AL24" s="152" t="str">
        <v>--</v>
      </c>
      <c r="AP24" s="2">
        <f ca="1"/>
        <v>9</v>
      </c>
      <c r="AQ24" s="2" t="str">
        <f ca="1"/>
        <v>PROJ</v>
      </c>
      <c r="AR24" s="2">
        <f ca="1"/>
        <v>16</v>
      </c>
      <c r="AS24" s="2">
        <f ca="1"/>
        <v>43</v>
      </c>
      <c r="AT24" s="2" t="str">
        <f ca="1"/>
        <v>Wk 43</v>
      </c>
      <c r="AU24" s="2" t="str">
        <f ca="1"/>
        <v>7,8</v>
      </c>
      <c r="AV24" s="2" t="str">
        <f ca="1"/>
        <v>752:758,801:809</v>
      </c>
      <c r="AW24" s="2">
        <f ca="1"/>
        <v>16</v>
      </c>
      <c r="AX24" s="2" t="b">
        <f ca="1"/>
        <v>0</v>
      </c>
      <c r="AY24" s="2" t="str">
        <f ca="1"/>
        <v>--</v>
      </c>
      <c r="AZ24" s="2" t="str">
        <f ca="1"/>
        <v>--</v>
      </c>
      <c r="BA24" s="2" t="str">
        <f ca="1"/>
        <v>(10/19/26-10/25/26)</v>
      </c>
      <c r="BB24" s="2" t="b">
        <f ca="1"/>
        <v>0</v>
      </c>
      <c r="BC24" s="2">
        <f ca="1"/>
        <v>46317</v>
      </c>
      <c r="BD24" s="2">
        <f ca="1"/>
        <v>5</v>
      </c>
      <c r="BE24" s="2" t="b">
        <f ca="1"/>
        <v>0</v>
      </c>
      <c r="BF24" s="2">
        <f ca="1"/>
        <v>46322</v>
      </c>
      <c r="BG24" s="2" t="str">
        <f ca="1"/>
        <v>--</v>
      </c>
      <c r="BH24" s="2">
        <f ca="1"/>
        <v>20</v>
      </c>
      <c r="BI24" s="2" t="b">
        <f ca="1"/>
        <v>0</v>
      </c>
      <c r="BJ24" s="2">
        <f ca="1"/>
        <v>46342</v>
      </c>
      <c r="BK24" s="2">
        <f ca="1"/>
        <v>5</v>
      </c>
      <c r="BL24" s="2" t="b">
        <f ca="1"/>
        <v>0</v>
      </c>
      <c r="BM24" s="2" t="b">
        <f ca="1"/>
        <v>0</v>
      </c>
      <c r="BN24" s="2">
        <f ca="1"/>
        <v>46347</v>
      </c>
      <c r="BO24" s="2" t="str">
        <f ca="1"/>
        <v>Sat</v>
      </c>
      <c r="BP24" s="2" t="str">
        <f ca="1"/>
        <v>--</v>
      </c>
      <c r="BQ24" s="2" t="str">
        <f ca="1"/>
        <v>--</v>
      </c>
      <c r="BR24" s="2" t="b">
        <f ca="1"/>
        <v>0</v>
      </c>
      <c r="BS24" s="2" t="b">
        <f ca="1"/>
        <v>0</v>
      </c>
      <c r="BT24" s="2" t="b">
        <f ca="1"/>
        <v>0</v>
      </c>
      <c r="BU24" s="2">
        <f ca="1"/>
        <v>46342</v>
      </c>
      <c r="BV24" s="2" t="str">
        <f ca="1"/>
        <v>+5 days</v>
      </c>
      <c r="BW24" s="2">
        <f ca="1"/>
        <v>5</v>
      </c>
      <c r="BX24" s="2">
        <f ca="1"/>
        <v>30</v>
      </c>
      <c r="BY24" s="2" t="str">
        <f ca="1"/>
        <v>--</v>
      </c>
    </row>
    <row r="25" spans="3:77" ht="27" customHeight="1" x14ac:dyDescent="0.2">
      <c r="C25" s="140">
        <v>9</v>
      </c>
      <c r="D25" s="141" t="str">
        <v>PROJ</v>
      </c>
      <c r="E25" s="142">
        <v>18</v>
      </c>
      <c r="F25" s="143">
        <v>44</v>
      </c>
      <c r="G25" s="144" t="str">
        <v>Wk 44</v>
      </c>
      <c r="H25" s="145" t="str">
        <v>8</v>
      </c>
      <c r="I25" s="146" t="str">
        <v>828:845</v>
      </c>
      <c r="J25" s="137">
        <v>18</v>
      </c>
      <c r="K25" s="154" t="b">
        <v>0</v>
      </c>
      <c r="L25" s="132" t="str">
        <v>--</v>
      </c>
      <c r="M25" s="132" t="str">
        <v>--</v>
      </c>
      <c r="N25" s="132" t="str">
        <v>(10/26/26-11/01/26)</v>
      </c>
      <c r="O25" s="154" t="b">
        <v>0</v>
      </c>
      <c r="P25" s="147">
        <v>46324</v>
      </c>
      <c r="Q25" s="138">
        <v>5</v>
      </c>
      <c r="R25" s="154" t="b">
        <v>0</v>
      </c>
      <c r="S25" s="147">
        <v>46329</v>
      </c>
      <c r="T25" s="132" t="str">
        <v>--</v>
      </c>
      <c r="U25" s="138">
        <v>20</v>
      </c>
      <c r="V25" s="154" t="b">
        <v>0</v>
      </c>
      <c r="W25" s="147">
        <v>46349</v>
      </c>
      <c r="X25" s="138">
        <v>5</v>
      </c>
      <c r="Y25" s="154" t="b">
        <v>0</v>
      </c>
      <c r="Z25" s="154" t="b">
        <v>0</v>
      </c>
      <c r="AA25" s="147">
        <v>46354</v>
      </c>
      <c r="AB25" s="148" t="str">
        <v>Sat</v>
      </c>
      <c r="AC25" s="149" t="str">
        <v>--</v>
      </c>
      <c r="AD25" s="132" t="str">
        <v>--</v>
      </c>
      <c r="AE25" s="154" t="b">
        <v>0</v>
      </c>
      <c r="AF25" s="228" t="b">
        <v>0</v>
      </c>
      <c r="AG25" s="154" t="b">
        <v>0</v>
      </c>
      <c r="AH25" s="139">
        <v>46356</v>
      </c>
      <c r="AI25" s="150" t="str">
        <v>-2 days</v>
      </c>
      <c r="AJ25" s="138">
        <v>-2</v>
      </c>
      <c r="AK25" s="151">
        <v>30</v>
      </c>
      <c r="AL25" s="152" t="str">
        <v>--</v>
      </c>
      <c r="AP25" s="2">
        <f ca="1"/>
        <v>9</v>
      </c>
      <c r="AQ25" s="2" t="str">
        <f ca="1"/>
        <v>PROJ</v>
      </c>
      <c r="AR25" s="2">
        <f ca="1"/>
        <v>17</v>
      </c>
      <c r="AS25" s="2">
        <f ca="1"/>
        <v>44</v>
      </c>
      <c r="AT25" s="2" t="str">
        <f ca="1"/>
        <v>Wk 44</v>
      </c>
      <c r="AU25" s="2" t="str">
        <f ca="1"/>
        <v>8</v>
      </c>
      <c r="AV25" s="2" t="str">
        <f ca="1"/>
        <v>810:827</v>
      </c>
      <c r="AW25" s="2">
        <f ca="1"/>
        <v>18</v>
      </c>
      <c r="AX25" s="2" t="b">
        <f ca="1"/>
        <v>0</v>
      </c>
      <c r="AY25" s="2" t="str">
        <f ca="1"/>
        <v>--</v>
      </c>
      <c r="AZ25" s="2" t="str">
        <f ca="1"/>
        <v>--</v>
      </c>
      <c r="BA25" s="2" t="str">
        <f ca="1"/>
        <v>(10/26/26-11/01/26)</v>
      </c>
      <c r="BB25" s="2" t="b">
        <f ca="1"/>
        <v>0</v>
      </c>
      <c r="BC25" s="2">
        <f ca="1"/>
        <v>46324</v>
      </c>
      <c r="BD25" s="2">
        <f ca="1"/>
        <v>5</v>
      </c>
      <c r="BE25" s="2" t="b">
        <f ca="1"/>
        <v>0</v>
      </c>
      <c r="BF25" s="2">
        <f ca="1"/>
        <v>46329</v>
      </c>
      <c r="BG25" s="2" t="str">
        <f ca="1"/>
        <v>--</v>
      </c>
      <c r="BH25" s="2">
        <f ca="1"/>
        <v>20</v>
      </c>
      <c r="BI25" s="2" t="b">
        <f ca="1"/>
        <v>0</v>
      </c>
      <c r="BJ25" s="2">
        <f ca="1"/>
        <v>46349</v>
      </c>
      <c r="BK25" s="2">
        <f ca="1"/>
        <v>5</v>
      </c>
      <c r="BL25" s="2" t="b">
        <f ca="1"/>
        <v>0</v>
      </c>
      <c r="BM25" s="2" t="b">
        <f ca="1"/>
        <v>0</v>
      </c>
      <c r="BN25" s="2">
        <f ca="1"/>
        <v>46354</v>
      </c>
      <c r="BO25" s="2" t="str">
        <f ca="1"/>
        <v>Sat</v>
      </c>
      <c r="BP25" s="2" t="str">
        <f ca="1"/>
        <v>--</v>
      </c>
      <c r="BQ25" s="2" t="str">
        <f ca="1"/>
        <v>--</v>
      </c>
      <c r="BR25" s="2" t="b">
        <f ca="1"/>
        <v>0</v>
      </c>
      <c r="BS25" s="2" t="b">
        <f ca="1"/>
        <v>0</v>
      </c>
      <c r="BT25" s="2" t="b">
        <f ca="1"/>
        <v>0</v>
      </c>
      <c r="BU25" s="2">
        <f ca="1"/>
        <v>46356</v>
      </c>
      <c r="BV25" s="2" t="str">
        <f ca="1"/>
        <v>-2 days</v>
      </c>
      <c r="BW25" s="2">
        <f ca="1"/>
        <v>-2</v>
      </c>
      <c r="BX25" s="2">
        <f ca="1"/>
        <v>30</v>
      </c>
      <c r="BY25" s="2" t="str">
        <f ca="1"/>
        <v>--</v>
      </c>
    </row>
    <row r="26" spans="3:77" ht="27" customHeight="1" x14ac:dyDescent="0.2">
      <c r="C26" s="140">
        <v>9</v>
      </c>
      <c r="D26" s="141" t="str">
        <v>PROJ</v>
      </c>
      <c r="E26" s="142">
        <v>19</v>
      </c>
      <c r="F26" s="143">
        <v>45</v>
      </c>
      <c r="G26" s="144" t="str">
        <v>Wk 45</v>
      </c>
      <c r="H26" s="145" t="str">
        <v>8,9</v>
      </c>
      <c r="I26" s="146" t="str">
        <v>846:849,852:858,901:905</v>
      </c>
      <c r="J26" s="137">
        <v>16</v>
      </c>
      <c r="K26" s="154" t="b">
        <v>0</v>
      </c>
      <c r="L26" s="132" t="str">
        <v>--</v>
      </c>
      <c r="M26" s="132" t="str">
        <v>--</v>
      </c>
      <c r="N26" s="132" t="str">
        <v>(11/02/26-11/08/26)</v>
      </c>
      <c r="O26" s="154" t="b">
        <v>0</v>
      </c>
      <c r="P26" s="147">
        <v>46331</v>
      </c>
      <c r="Q26" s="138">
        <v>5</v>
      </c>
      <c r="R26" s="154" t="b">
        <v>0</v>
      </c>
      <c r="S26" s="147">
        <v>46336</v>
      </c>
      <c r="T26" s="132" t="str">
        <v>--</v>
      </c>
      <c r="U26" s="138">
        <v>20</v>
      </c>
      <c r="V26" s="154" t="b">
        <v>0</v>
      </c>
      <c r="W26" s="147">
        <v>46356</v>
      </c>
      <c r="X26" s="138">
        <v>5</v>
      </c>
      <c r="Y26" s="154" t="b">
        <v>0</v>
      </c>
      <c r="Z26" s="154" t="b">
        <v>0</v>
      </c>
      <c r="AA26" s="147">
        <v>46361</v>
      </c>
      <c r="AB26" s="148" t="str">
        <v>Sat</v>
      </c>
      <c r="AC26" s="149" t="str">
        <v>--</v>
      </c>
      <c r="AD26" s="132" t="str">
        <v>--</v>
      </c>
      <c r="AE26" s="154" t="b">
        <v>0</v>
      </c>
      <c r="AF26" s="228" t="b">
        <v>0</v>
      </c>
      <c r="AG26" s="154" t="b">
        <v>0</v>
      </c>
      <c r="AH26" s="139">
        <v>46356</v>
      </c>
      <c r="AI26" s="150" t="str">
        <v>+5 days</v>
      </c>
      <c r="AJ26" s="138">
        <v>5</v>
      </c>
      <c r="AK26" s="151">
        <v>30</v>
      </c>
      <c r="AL26" s="152" t="str">
        <v>--</v>
      </c>
      <c r="AP26" s="2">
        <f ca="1"/>
        <v>9</v>
      </c>
      <c r="AQ26" s="2" t="str">
        <f ca="1"/>
        <v>PROJ</v>
      </c>
      <c r="AR26" s="2">
        <f ca="1"/>
        <v>18</v>
      </c>
      <c r="AS26" s="2">
        <f ca="1"/>
        <v>44</v>
      </c>
      <c r="AT26" s="2" t="str">
        <f ca="1"/>
        <v>Wk 44</v>
      </c>
      <c r="AU26" s="2" t="str">
        <f ca="1"/>
        <v>8</v>
      </c>
      <c r="AV26" s="2" t="str">
        <f ca="1"/>
        <v>828:845</v>
      </c>
      <c r="AW26" s="2">
        <f ca="1"/>
        <v>18</v>
      </c>
      <c r="AX26" s="2" t="b">
        <f ca="1"/>
        <v>0</v>
      </c>
      <c r="AY26" s="2" t="str">
        <f ca="1"/>
        <v>--</v>
      </c>
      <c r="AZ26" s="2" t="str">
        <f ca="1"/>
        <v>--</v>
      </c>
      <c r="BA26" s="2" t="str">
        <f ca="1"/>
        <v>(10/26/26-11/01/26)</v>
      </c>
      <c r="BB26" s="2" t="b">
        <f ca="1"/>
        <v>0</v>
      </c>
      <c r="BC26" s="2">
        <f ca="1"/>
        <v>46324</v>
      </c>
      <c r="BD26" s="2">
        <f ca="1"/>
        <v>5</v>
      </c>
      <c r="BE26" s="2" t="b">
        <f ca="1"/>
        <v>0</v>
      </c>
      <c r="BF26" s="2">
        <f ca="1"/>
        <v>46329</v>
      </c>
      <c r="BG26" s="2" t="str">
        <f ca="1"/>
        <v>--</v>
      </c>
      <c r="BH26" s="2">
        <f ca="1"/>
        <v>20</v>
      </c>
      <c r="BI26" s="2" t="b">
        <f ca="1"/>
        <v>0</v>
      </c>
      <c r="BJ26" s="2">
        <f ca="1"/>
        <v>46349</v>
      </c>
      <c r="BK26" s="2">
        <f ca="1"/>
        <v>5</v>
      </c>
      <c r="BL26" s="2" t="b">
        <f ca="1"/>
        <v>0</v>
      </c>
      <c r="BM26" s="2" t="b">
        <f ca="1"/>
        <v>0</v>
      </c>
      <c r="BN26" s="2">
        <f ca="1"/>
        <v>46354</v>
      </c>
      <c r="BO26" s="2" t="str">
        <f ca="1"/>
        <v>Sat</v>
      </c>
      <c r="BP26" s="2" t="str">
        <f ca="1"/>
        <v>--</v>
      </c>
      <c r="BQ26" s="2" t="str">
        <f ca="1"/>
        <v>--</v>
      </c>
      <c r="BR26" s="2" t="b">
        <f ca="1"/>
        <v>0</v>
      </c>
      <c r="BS26" s="2" t="b">
        <f ca="1"/>
        <v>0</v>
      </c>
      <c r="BT26" s="2" t="b">
        <f ca="1"/>
        <v>0</v>
      </c>
      <c r="BU26" s="2">
        <f ca="1"/>
        <v>46356</v>
      </c>
      <c r="BV26" s="2" t="str">
        <f ca="1"/>
        <v>-2 days</v>
      </c>
      <c r="BW26" s="2">
        <f ca="1"/>
        <v>-2</v>
      </c>
      <c r="BX26" s="2">
        <f ca="1"/>
        <v>30</v>
      </c>
      <c r="BY26" s="2" t="str">
        <f ca="1"/>
        <v>--</v>
      </c>
    </row>
    <row r="27" spans="3:77" ht="27" customHeight="1" x14ac:dyDescent="0.2">
      <c r="C27" s="140">
        <v>9</v>
      </c>
      <c r="D27" s="141" t="str">
        <v>PROJ</v>
      </c>
      <c r="E27" s="142">
        <v>20</v>
      </c>
      <c r="F27" s="143">
        <v>46</v>
      </c>
      <c r="G27" s="144" t="str">
        <v>Wk 46</v>
      </c>
      <c r="H27" s="145" t="str">
        <v>9</v>
      </c>
      <c r="I27" s="146" t="str">
        <v>906:923</v>
      </c>
      <c r="J27" s="137">
        <v>18</v>
      </c>
      <c r="K27" s="154" t="b">
        <v>0</v>
      </c>
      <c r="L27" s="132" t="str">
        <v>--</v>
      </c>
      <c r="M27" s="132" t="str">
        <v>--</v>
      </c>
      <c r="N27" s="132" t="str">
        <v>(11/09/26-11/15/26)</v>
      </c>
      <c r="O27" s="154" t="b">
        <v>0</v>
      </c>
      <c r="P27" s="147">
        <v>46338</v>
      </c>
      <c r="Q27" s="138">
        <v>5</v>
      </c>
      <c r="R27" s="154" t="b">
        <v>0</v>
      </c>
      <c r="S27" s="147">
        <v>46343</v>
      </c>
      <c r="T27" s="132" t="str">
        <v>--</v>
      </c>
      <c r="U27" s="138">
        <v>20</v>
      </c>
      <c r="V27" s="154" t="b">
        <v>0</v>
      </c>
      <c r="W27" s="147">
        <v>46363</v>
      </c>
      <c r="X27" s="138">
        <v>5</v>
      </c>
      <c r="Y27" s="154" t="b">
        <v>0</v>
      </c>
      <c r="Z27" s="154" t="b">
        <v>0</v>
      </c>
      <c r="AA27" s="147">
        <v>46368</v>
      </c>
      <c r="AB27" s="148" t="str">
        <v>Sat</v>
      </c>
      <c r="AC27" s="149" t="str">
        <v>--</v>
      </c>
      <c r="AD27" s="132" t="str">
        <v>--</v>
      </c>
      <c r="AE27" s="154" t="b">
        <v>0</v>
      </c>
      <c r="AF27" s="228" t="b">
        <v>0</v>
      </c>
      <c r="AG27" s="154" t="b">
        <v>0</v>
      </c>
      <c r="AH27" s="139">
        <v>46370</v>
      </c>
      <c r="AI27" s="150" t="str">
        <v>-2 days</v>
      </c>
      <c r="AJ27" s="138">
        <v>-2</v>
      </c>
      <c r="AK27" s="151">
        <v>30</v>
      </c>
      <c r="AL27" s="152" t="str">
        <v>--</v>
      </c>
      <c r="AP27" s="2">
        <f ca="1"/>
        <v>9</v>
      </c>
      <c r="AQ27" s="2" t="str">
        <f ca="1"/>
        <v>PROJ</v>
      </c>
      <c r="AR27" s="2">
        <f ca="1"/>
        <v>19</v>
      </c>
      <c r="AS27" s="2">
        <f ca="1"/>
        <v>45</v>
      </c>
      <c r="AT27" s="2" t="str">
        <f ca="1"/>
        <v>Wk 45</v>
      </c>
      <c r="AU27" s="2" t="str">
        <f ca="1"/>
        <v>8,9</v>
      </c>
      <c r="AV27" s="2" t="str">
        <f ca="1"/>
        <v>846:849,852:858,901:905</v>
      </c>
      <c r="AW27" s="2">
        <f ca="1"/>
        <v>16</v>
      </c>
      <c r="AX27" s="2" t="b">
        <f ca="1"/>
        <v>0</v>
      </c>
      <c r="AY27" s="2" t="str">
        <f ca="1"/>
        <v>--</v>
      </c>
      <c r="AZ27" s="2" t="str">
        <f ca="1"/>
        <v>--</v>
      </c>
      <c r="BA27" s="2" t="str">
        <f ca="1"/>
        <v>(11/02/26-11/08/26)</v>
      </c>
      <c r="BB27" s="2" t="b">
        <f ca="1"/>
        <v>0</v>
      </c>
      <c r="BC27" s="2">
        <f ca="1"/>
        <v>46331</v>
      </c>
      <c r="BD27" s="2">
        <f ca="1"/>
        <v>5</v>
      </c>
      <c r="BE27" s="2" t="b">
        <f ca="1"/>
        <v>0</v>
      </c>
      <c r="BF27" s="2">
        <f ca="1"/>
        <v>46336</v>
      </c>
      <c r="BG27" s="2" t="str">
        <f ca="1"/>
        <v>--</v>
      </c>
      <c r="BH27" s="2">
        <f ca="1"/>
        <v>20</v>
      </c>
      <c r="BI27" s="2" t="b">
        <f ca="1"/>
        <v>0</v>
      </c>
      <c r="BJ27" s="2">
        <f ca="1"/>
        <v>46356</v>
      </c>
      <c r="BK27" s="2">
        <f ca="1"/>
        <v>5</v>
      </c>
      <c r="BL27" s="2" t="b">
        <f ca="1"/>
        <v>0</v>
      </c>
      <c r="BM27" s="2" t="b">
        <f ca="1"/>
        <v>0</v>
      </c>
      <c r="BN27" s="2">
        <f ca="1"/>
        <v>46361</v>
      </c>
      <c r="BO27" s="2" t="str">
        <f ca="1"/>
        <v>Sat</v>
      </c>
      <c r="BP27" s="2" t="str">
        <f ca="1"/>
        <v>--</v>
      </c>
      <c r="BQ27" s="2" t="str">
        <f ca="1"/>
        <v>--</v>
      </c>
      <c r="BR27" s="2" t="b">
        <f ca="1"/>
        <v>0</v>
      </c>
      <c r="BS27" s="2" t="b">
        <f ca="1"/>
        <v>0</v>
      </c>
      <c r="BT27" s="2" t="b">
        <f ca="1"/>
        <v>0</v>
      </c>
      <c r="BU27" s="2">
        <f ca="1"/>
        <v>46356</v>
      </c>
      <c r="BV27" s="2" t="str">
        <f ca="1"/>
        <v>+5 days</v>
      </c>
      <c r="BW27" s="2">
        <f ca="1"/>
        <v>5</v>
      </c>
      <c r="BX27" s="2">
        <f ca="1"/>
        <v>30</v>
      </c>
      <c r="BY27" s="2" t="str">
        <f ca="1"/>
        <v>--</v>
      </c>
    </row>
    <row r="28" spans="3:77" ht="27" customHeight="1" x14ac:dyDescent="0.2">
      <c r="C28" s="140">
        <v>9</v>
      </c>
      <c r="D28" s="141" t="str">
        <v>PROJ</v>
      </c>
      <c r="E28" s="142">
        <v>21</v>
      </c>
      <c r="F28" s="143">
        <v>46</v>
      </c>
      <c r="G28" s="144" t="str">
        <v>Wk 46</v>
      </c>
      <c r="H28" s="145" t="str">
        <v>9</v>
      </c>
      <c r="I28" s="146" t="str">
        <v>924:941</v>
      </c>
      <c r="J28" s="137">
        <v>18</v>
      </c>
      <c r="K28" s="154" t="b">
        <v>0</v>
      </c>
      <c r="L28" s="132" t="str">
        <v>--</v>
      </c>
      <c r="M28" s="132" t="str">
        <v>--</v>
      </c>
      <c r="N28" s="132" t="str">
        <v>(11/09/26-11/15/26)</v>
      </c>
      <c r="O28" s="154" t="b">
        <v>0</v>
      </c>
      <c r="P28" s="147">
        <v>46338</v>
      </c>
      <c r="Q28" s="138">
        <v>5</v>
      </c>
      <c r="R28" s="154" t="b">
        <v>0</v>
      </c>
      <c r="S28" s="147">
        <v>46343</v>
      </c>
      <c r="T28" s="132" t="str">
        <v>--</v>
      </c>
      <c r="U28" s="138">
        <v>20</v>
      </c>
      <c r="V28" s="154" t="b">
        <v>0</v>
      </c>
      <c r="W28" s="147">
        <v>46363</v>
      </c>
      <c r="X28" s="138">
        <v>5</v>
      </c>
      <c r="Y28" s="154" t="b">
        <v>0</v>
      </c>
      <c r="Z28" s="154" t="b">
        <v>0</v>
      </c>
      <c r="AA28" s="147">
        <v>46368</v>
      </c>
      <c r="AB28" s="148" t="str">
        <v>Sat</v>
      </c>
      <c r="AC28" s="149" t="str">
        <v>--</v>
      </c>
      <c r="AD28" s="132" t="str">
        <v>--</v>
      </c>
      <c r="AE28" s="154" t="b">
        <v>0</v>
      </c>
      <c r="AF28" s="228" t="b">
        <v>0</v>
      </c>
      <c r="AG28" s="154" t="b">
        <v>0</v>
      </c>
      <c r="AH28" s="139">
        <v>46370</v>
      </c>
      <c r="AI28" s="150" t="str">
        <v>-2 days</v>
      </c>
      <c r="AJ28" s="138">
        <v>-2</v>
      </c>
      <c r="AK28" s="151">
        <v>30</v>
      </c>
      <c r="AL28" s="152" t="str">
        <v>--</v>
      </c>
      <c r="AP28" s="2">
        <f ca="1"/>
        <v>9</v>
      </c>
      <c r="AQ28" s="2" t="str">
        <f ca="1"/>
        <v>PROJ</v>
      </c>
      <c r="AR28" s="2">
        <f ca="1"/>
        <v>20</v>
      </c>
      <c r="AS28" s="2">
        <f ca="1"/>
        <v>46</v>
      </c>
      <c r="AT28" s="2" t="str">
        <f ca="1"/>
        <v>Wk 46</v>
      </c>
      <c r="AU28" s="2" t="str">
        <f ca="1"/>
        <v>9</v>
      </c>
      <c r="AV28" s="2" t="str">
        <f ca="1"/>
        <v>906:923</v>
      </c>
      <c r="AW28" s="2">
        <f ca="1"/>
        <v>18</v>
      </c>
      <c r="AX28" s="2" t="b">
        <f ca="1"/>
        <v>0</v>
      </c>
      <c r="AY28" s="2" t="str">
        <f ca="1"/>
        <v>--</v>
      </c>
      <c r="AZ28" s="2" t="str">
        <f ca="1"/>
        <v>--</v>
      </c>
      <c r="BA28" s="2" t="str">
        <f ca="1"/>
        <v>(11/09/26-11/15/26)</v>
      </c>
      <c r="BB28" s="2" t="b">
        <f ca="1"/>
        <v>0</v>
      </c>
      <c r="BC28" s="2">
        <f ca="1"/>
        <v>46338</v>
      </c>
      <c r="BD28" s="2">
        <f ca="1"/>
        <v>5</v>
      </c>
      <c r="BE28" s="2" t="b">
        <f ca="1"/>
        <v>0</v>
      </c>
      <c r="BF28" s="2">
        <f ca="1"/>
        <v>46343</v>
      </c>
      <c r="BG28" s="2" t="str">
        <f ca="1"/>
        <v>--</v>
      </c>
      <c r="BH28" s="2">
        <f ca="1"/>
        <v>20</v>
      </c>
      <c r="BI28" s="2" t="b">
        <f ca="1"/>
        <v>0</v>
      </c>
      <c r="BJ28" s="2">
        <f ca="1"/>
        <v>46363</v>
      </c>
      <c r="BK28" s="2">
        <f ca="1"/>
        <v>5</v>
      </c>
      <c r="BL28" s="2" t="b">
        <f ca="1"/>
        <v>0</v>
      </c>
      <c r="BM28" s="2" t="b">
        <f ca="1"/>
        <v>0</v>
      </c>
      <c r="BN28" s="2">
        <f ca="1"/>
        <v>46368</v>
      </c>
      <c r="BO28" s="2" t="str">
        <f ca="1"/>
        <v>Sat</v>
      </c>
      <c r="BP28" s="2" t="str">
        <f ca="1"/>
        <v>--</v>
      </c>
      <c r="BQ28" s="2" t="str">
        <f ca="1"/>
        <v>--</v>
      </c>
      <c r="BR28" s="2" t="b">
        <f ca="1"/>
        <v>0</v>
      </c>
      <c r="BS28" s="2" t="b">
        <f ca="1"/>
        <v>0</v>
      </c>
      <c r="BT28" s="2" t="b">
        <f ca="1"/>
        <v>0</v>
      </c>
      <c r="BU28" s="2">
        <f ca="1"/>
        <v>46370</v>
      </c>
      <c r="BV28" s="2" t="str">
        <f ca="1"/>
        <v>-2 days</v>
      </c>
      <c r="BW28" s="2">
        <f ca="1"/>
        <v>-2</v>
      </c>
      <c r="BX28" s="2">
        <f ca="1"/>
        <v>30</v>
      </c>
      <c r="BY28" s="2" t="str">
        <f ca="1"/>
        <v>--</v>
      </c>
    </row>
    <row r="29" spans="3:77" ht="27" customHeight="1" x14ac:dyDescent="0.2">
      <c r="C29" s="140">
        <v>9</v>
      </c>
      <c r="D29" s="141" t="str">
        <v>PROJ</v>
      </c>
      <c r="E29" s="142">
        <v>22</v>
      </c>
      <c r="F29" s="143">
        <v>47</v>
      </c>
      <c r="G29" s="144" t="str">
        <v>Wk 47</v>
      </c>
      <c r="H29" s="145" t="str">
        <v>9,10</v>
      </c>
      <c r="I29" s="146" t="str">
        <v>942:949,952:958,1001</v>
      </c>
      <c r="J29" s="137">
        <v>16</v>
      </c>
      <c r="K29" s="154" t="b">
        <v>0</v>
      </c>
      <c r="L29" s="132" t="str">
        <v>--</v>
      </c>
      <c r="M29" s="132" t="str">
        <v>--</v>
      </c>
      <c r="N29" s="132" t="str">
        <v>(11/16/26-11/22/26)</v>
      </c>
      <c r="O29" s="154" t="b">
        <v>0</v>
      </c>
      <c r="P29" s="147">
        <v>46345</v>
      </c>
      <c r="Q29" s="138">
        <v>5</v>
      </c>
      <c r="R29" s="154" t="b">
        <v>0</v>
      </c>
      <c r="S29" s="147">
        <v>46350</v>
      </c>
      <c r="T29" s="132" t="str">
        <v>--</v>
      </c>
      <c r="U29" s="138">
        <v>20</v>
      </c>
      <c r="V29" s="154" t="b">
        <v>0</v>
      </c>
      <c r="W29" s="147">
        <v>46370</v>
      </c>
      <c r="X29" s="138">
        <v>5</v>
      </c>
      <c r="Y29" s="154" t="b">
        <v>0</v>
      </c>
      <c r="Z29" s="154" t="b">
        <v>0</v>
      </c>
      <c r="AA29" s="147">
        <v>46375</v>
      </c>
      <c r="AB29" s="148" t="str">
        <v>Sat</v>
      </c>
      <c r="AC29" s="149" t="str">
        <v>--</v>
      </c>
      <c r="AD29" s="132" t="str">
        <v>--</v>
      </c>
      <c r="AE29" s="154" t="b">
        <v>0</v>
      </c>
      <c r="AF29" s="228" t="b">
        <v>0</v>
      </c>
      <c r="AG29" s="154" t="b">
        <v>0</v>
      </c>
      <c r="AH29" s="139">
        <v>46370</v>
      </c>
      <c r="AI29" s="150" t="str">
        <v>+5 days</v>
      </c>
      <c r="AJ29" s="138">
        <v>5</v>
      </c>
      <c r="AK29" s="151">
        <v>30</v>
      </c>
      <c r="AL29" s="152" t="str">
        <v>--</v>
      </c>
      <c r="AP29" s="2">
        <f ca="1"/>
        <v>9</v>
      </c>
      <c r="AQ29" s="2" t="str">
        <f ca="1"/>
        <v>PROJ</v>
      </c>
      <c r="AR29" s="2">
        <f ca="1"/>
        <v>21</v>
      </c>
      <c r="AS29" s="2">
        <f ca="1"/>
        <v>46</v>
      </c>
      <c r="AT29" s="2" t="str">
        <f ca="1"/>
        <v>Wk 46</v>
      </c>
      <c r="AU29" s="2" t="str">
        <f ca="1"/>
        <v>9</v>
      </c>
      <c r="AV29" s="2" t="str">
        <f ca="1"/>
        <v>924:941</v>
      </c>
      <c r="AW29" s="2">
        <f ca="1"/>
        <v>18</v>
      </c>
      <c r="AX29" s="2" t="b">
        <f ca="1"/>
        <v>0</v>
      </c>
      <c r="AY29" s="2" t="str">
        <f ca="1"/>
        <v>--</v>
      </c>
      <c r="AZ29" s="2" t="str">
        <f ca="1"/>
        <v>--</v>
      </c>
      <c r="BA29" s="2" t="str">
        <f ca="1"/>
        <v>(11/09/26-11/15/26)</v>
      </c>
      <c r="BB29" s="2" t="b">
        <f ca="1"/>
        <v>0</v>
      </c>
      <c r="BC29" s="2">
        <f ca="1"/>
        <v>46338</v>
      </c>
      <c r="BD29" s="2">
        <f ca="1"/>
        <v>5</v>
      </c>
      <c r="BE29" s="2" t="b">
        <f ca="1"/>
        <v>0</v>
      </c>
      <c r="BF29" s="2">
        <f ca="1"/>
        <v>46343</v>
      </c>
      <c r="BG29" s="2" t="str">
        <f ca="1"/>
        <v>--</v>
      </c>
      <c r="BH29" s="2">
        <f ca="1"/>
        <v>20</v>
      </c>
      <c r="BI29" s="2" t="b">
        <f ca="1"/>
        <v>0</v>
      </c>
      <c r="BJ29" s="2">
        <f ca="1"/>
        <v>46363</v>
      </c>
      <c r="BK29" s="2">
        <f ca="1"/>
        <v>5</v>
      </c>
      <c r="BL29" s="2" t="b">
        <f ca="1"/>
        <v>0</v>
      </c>
      <c r="BM29" s="2" t="b">
        <f ca="1"/>
        <v>0</v>
      </c>
      <c r="BN29" s="2">
        <f ca="1"/>
        <v>46368</v>
      </c>
      <c r="BO29" s="2" t="str">
        <f ca="1"/>
        <v>Sat</v>
      </c>
      <c r="BP29" s="2" t="str">
        <f ca="1"/>
        <v>--</v>
      </c>
      <c r="BQ29" s="2" t="str">
        <f ca="1"/>
        <v>--</v>
      </c>
      <c r="BR29" s="2" t="b">
        <f ca="1"/>
        <v>0</v>
      </c>
      <c r="BS29" s="2" t="b">
        <f ca="1"/>
        <v>0</v>
      </c>
      <c r="BT29" s="2" t="b">
        <f ca="1"/>
        <v>0</v>
      </c>
      <c r="BU29" s="2">
        <f ca="1"/>
        <v>46370</v>
      </c>
      <c r="BV29" s="2" t="str">
        <f ca="1"/>
        <v>-2 days</v>
      </c>
      <c r="BW29" s="2">
        <f ca="1"/>
        <v>-2</v>
      </c>
      <c r="BX29" s="2">
        <f ca="1"/>
        <v>30</v>
      </c>
      <c r="BY29" s="2" t="str">
        <f ca="1"/>
        <v>--</v>
      </c>
    </row>
    <row r="30" spans="3:77" ht="27" customHeight="1" x14ac:dyDescent="0.2">
      <c r="C30" s="140">
        <v>9</v>
      </c>
      <c r="D30" s="141" t="str">
        <v>PROJ</v>
      </c>
      <c r="E30" s="142">
        <v>23</v>
      </c>
      <c r="F30" s="143">
        <v>47</v>
      </c>
      <c r="G30" s="144" t="str">
        <v>Wk 47</v>
      </c>
      <c r="H30" s="145" t="str">
        <v>10</v>
      </c>
      <c r="I30" s="146" t="str">
        <v>1002:1019</v>
      </c>
      <c r="J30" s="137">
        <v>18</v>
      </c>
      <c r="K30" s="154" t="b">
        <v>0</v>
      </c>
      <c r="L30" s="132" t="str">
        <v>--</v>
      </c>
      <c r="M30" s="132" t="str">
        <v>--</v>
      </c>
      <c r="N30" s="132" t="str">
        <v>(11/16/26-11/22/26)</v>
      </c>
      <c r="O30" s="154" t="b">
        <v>0</v>
      </c>
      <c r="P30" s="147">
        <v>46345</v>
      </c>
      <c r="Q30" s="138">
        <v>5</v>
      </c>
      <c r="R30" s="154" t="b">
        <v>0</v>
      </c>
      <c r="S30" s="147">
        <v>46350</v>
      </c>
      <c r="T30" s="132" t="str">
        <v>--</v>
      </c>
      <c r="U30" s="138">
        <v>20</v>
      </c>
      <c r="V30" s="154" t="b">
        <v>0</v>
      </c>
      <c r="W30" s="147">
        <v>46370</v>
      </c>
      <c r="X30" s="138">
        <v>5</v>
      </c>
      <c r="Y30" s="154" t="b">
        <v>0</v>
      </c>
      <c r="Z30" s="154" t="b">
        <v>0</v>
      </c>
      <c r="AA30" s="147">
        <v>46375</v>
      </c>
      <c r="AB30" s="148" t="str">
        <v>Sat</v>
      </c>
      <c r="AC30" s="149" t="str">
        <v>--</v>
      </c>
      <c r="AD30" s="132" t="str">
        <v>--</v>
      </c>
      <c r="AE30" s="154" t="b">
        <v>0</v>
      </c>
      <c r="AF30" s="228" t="b">
        <v>0</v>
      </c>
      <c r="AG30" s="154" t="b">
        <v>0</v>
      </c>
      <c r="AH30" s="139">
        <v>46384</v>
      </c>
      <c r="AI30" s="150" t="str">
        <v>-9 days</v>
      </c>
      <c r="AJ30" s="138">
        <v>-9</v>
      </c>
      <c r="AK30" s="151">
        <v>30</v>
      </c>
      <c r="AL30" s="152" t="str">
        <v>--</v>
      </c>
      <c r="AP30" s="2">
        <f ca="1"/>
        <v>9</v>
      </c>
      <c r="AQ30" s="2" t="str">
        <f ca="1"/>
        <v>PROJ</v>
      </c>
      <c r="AR30" s="2">
        <f ca="1"/>
        <v>22</v>
      </c>
      <c r="AS30" s="2">
        <f ca="1"/>
        <v>47</v>
      </c>
      <c r="AT30" s="2" t="str">
        <f ca="1"/>
        <v>Wk 47</v>
      </c>
      <c r="AU30" s="2" t="str">
        <f ca="1"/>
        <v>9,10</v>
      </c>
      <c r="AV30" s="2" t="str">
        <f ca="1"/>
        <v>942:949,952:958,1001</v>
      </c>
      <c r="AW30" s="2">
        <f ca="1"/>
        <v>16</v>
      </c>
      <c r="AX30" s="2" t="b">
        <f ca="1"/>
        <v>0</v>
      </c>
      <c r="AY30" s="2" t="str">
        <f ca="1"/>
        <v>--</v>
      </c>
      <c r="AZ30" s="2" t="str">
        <f ca="1"/>
        <v>--</v>
      </c>
      <c r="BA30" s="2" t="str">
        <f ca="1"/>
        <v>(11/16/26-11/22/26)</v>
      </c>
      <c r="BB30" s="2" t="b">
        <f ca="1"/>
        <v>0</v>
      </c>
      <c r="BC30" s="2">
        <f ca="1"/>
        <v>46345</v>
      </c>
      <c r="BD30" s="2">
        <f ca="1"/>
        <v>5</v>
      </c>
      <c r="BE30" s="2" t="b">
        <f ca="1"/>
        <v>0</v>
      </c>
      <c r="BF30" s="2">
        <f ca="1"/>
        <v>46350</v>
      </c>
      <c r="BG30" s="2" t="str">
        <f ca="1"/>
        <v>--</v>
      </c>
      <c r="BH30" s="2">
        <f ca="1"/>
        <v>20</v>
      </c>
      <c r="BI30" s="2" t="b">
        <f ca="1"/>
        <v>0</v>
      </c>
      <c r="BJ30" s="2">
        <f ca="1"/>
        <v>46370</v>
      </c>
      <c r="BK30" s="2">
        <f ca="1"/>
        <v>5</v>
      </c>
      <c r="BL30" s="2" t="b">
        <f ca="1"/>
        <v>0</v>
      </c>
      <c r="BM30" s="2" t="b">
        <f ca="1"/>
        <v>0</v>
      </c>
      <c r="BN30" s="2">
        <f ca="1"/>
        <v>46375</v>
      </c>
      <c r="BO30" s="2" t="str">
        <f ca="1"/>
        <v>Sat</v>
      </c>
      <c r="BP30" s="2" t="str">
        <f ca="1"/>
        <v>--</v>
      </c>
      <c r="BQ30" s="2" t="str">
        <f ca="1"/>
        <v>--</v>
      </c>
      <c r="BR30" s="2" t="b">
        <f ca="1"/>
        <v>0</v>
      </c>
      <c r="BS30" s="2" t="b">
        <f ca="1"/>
        <v>0</v>
      </c>
      <c r="BT30" s="2" t="b">
        <f ca="1"/>
        <v>0</v>
      </c>
      <c r="BU30" s="2">
        <f ca="1"/>
        <v>46370</v>
      </c>
      <c r="BV30" s="2" t="str">
        <f ca="1"/>
        <v>+5 days</v>
      </c>
      <c r="BW30" s="2">
        <f ca="1"/>
        <v>5</v>
      </c>
      <c r="BX30" s="2">
        <f ca="1"/>
        <v>30</v>
      </c>
      <c r="BY30" s="2" t="str">
        <f ca="1"/>
        <v>--</v>
      </c>
    </row>
    <row r="31" spans="3:77" ht="27" customHeight="1" x14ac:dyDescent="0.2">
      <c r="C31" s="140">
        <v>9</v>
      </c>
      <c r="D31" s="141" t="str">
        <v>PROJ</v>
      </c>
      <c r="E31" s="142">
        <v>24</v>
      </c>
      <c r="F31" s="143">
        <v>48</v>
      </c>
      <c r="G31" s="144" t="str">
        <v>Wk 48</v>
      </c>
      <c r="H31" s="145" t="str">
        <v>10</v>
      </c>
      <c r="I31" s="146" t="str">
        <v>1020:1037</v>
      </c>
      <c r="J31" s="137">
        <v>18</v>
      </c>
      <c r="K31" s="154" t="b">
        <v>0</v>
      </c>
      <c r="L31" s="132" t="str">
        <v>--</v>
      </c>
      <c r="M31" s="132" t="str">
        <v>--</v>
      </c>
      <c r="N31" s="132" t="str">
        <v>(11/23/26-11/29/26)</v>
      </c>
      <c r="O31" s="154" t="b">
        <v>0</v>
      </c>
      <c r="P31" s="147">
        <v>46352</v>
      </c>
      <c r="Q31" s="138">
        <v>5</v>
      </c>
      <c r="R31" s="154" t="b">
        <v>0</v>
      </c>
      <c r="S31" s="147">
        <v>46357</v>
      </c>
      <c r="T31" s="132" t="str">
        <v>--</v>
      </c>
      <c r="U31" s="138">
        <v>20</v>
      </c>
      <c r="V31" s="154" t="b">
        <v>0</v>
      </c>
      <c r="W31" s="147">
        <v>46377</v>
      </c>
      <c r="X31" s="138">
        <v>5</v>
      </c>
      <c r="Y31" s="154" t="b">
        <v>0</v>
      </c>
      <c r="Z31" s="154" t="b">
        <v>0</v>
      </c>
      <c r="AA31" s="147">
        <v>46382</v>
      </c>
      <c r="AB31" s="148" t="str">
        <v>Sat</v>
      </c>
      <c r="AC31" s="149" t="str">
        <v>--</v>
      </c>
      <c r="AD31" s="132" t="str">
        <v>--</v>
      </c>
      <c r="AE31" s="154" t="b">
        <v>0</v>
      </c>
      <c r="AF31" s="228" t="b">
        <v>0</v>
      </c>
      <c r="AG31" s="154" t="b">
        <v>0</v>
      </c>
      <c r="AH31" s="139">
        <v>46384</v>
      </c>
      <c r="AI31" s="150" t="str">
        <v>-2 days</v>
      </c>
      <c r="AJ31" s="138">
        <v>-2</v>
      </c>
      <c r="AK31" s="151">
        <v>30</v>
      </c>
      <c r="AL31" s="152" t="str">
        <v>--</v>
      </c>
      <c r="AP31" s="2">
        <f ca="1"/>
        <v>9</v>
      </c>
      <c r="AQ31" s="2" t="str">
        <f ca="1"/>
        <v>PROJ</v>
      </c>
      <c r="AR31" s="2">
        <f ca="1"/>
        <v>23</v>
      </c>
      <c r="AS31" s="2">
        <f ca="1"/>
        <v>47</v>
      </c>
      <c r="AT31" s="2" t="str">
        <f ca="1"/>
        <v>Wk 47</v>
      </c>
      <c r="AU31" s="2" t="str">
        <f ca="1"/>
        <v>10</v>
      </c>
      <c r="AV31" s="2" t="str">
        <f ca="1"/>
        <v>1002:1019</v>
      </c>
      <c r="AW31" s="2">
        <f ca="1"/>
        <v>18</v>
      </c>
      <c r="AX31" s="2" t="b">
        <f ca="1"/>
        <v>0</v>
      </c>
      <c r="AY31" s="2" t="str">
        <f ca="1"/>
        <v>--</v>
      </c>
      <c r="AZ31" s="2" t="str">
        <f ca="1"/>
        <v>--</v>
      </c>
      <c r="BA31" s="2" t="str">
        <f ca="1"/>
        <v>(11/16/26-11/22/26)</v>
      </c>
      <c r="BB31" s="2" t="b">
        <f ca="1"/>
        <v>0</v>
      </c>
      <c r="BC31" s="2">
        <f ca="1"/>
        <v>46345</v>
      </c>
      <c r="BD31" s="2">
        <f ca="1"/>
        <v>5</v>
      </c>
      <c r="BE31" s="2" t="b">
        <f ca="1"/>
        <v>0</v>
      </c>
      <c r="BF31" s="2">
        <f ca="1"/>
        <v>46350</v>
      </c>
      <c r="BG31" s="2" t="str">
        <f ca="1"/>
        <v>--</v>
      </c>
      <c r="BH31" s="2">
        <f ca="1"/>
        <v>20</v>
      </c>
      <c r="BI31" s="2" t="b">
        <f ca="1"/>
        <v>0</v>
      </c>
      <c r="BJ31" s="2">
        <f ca="1"/>
        <v>46370</v>
      </c>
      <c r="BK31" s="2">
        <f ca="1"/>
        <v>5</v>
      </c>
      <c r="BL31" s="2" t="b">
        <f ca="1"/>
        <v>0</v>
      </c>
      <c r="BM31" s="2" t="b">
        <f ca="1"/>
        <v>0</v>
      </c>
      <c r="BN31" s="2">
        <f ca="1"/>
        <v>46375</v>
      </c>
      <c r="BO31" s="2" t="str">
        <f ca="1"/>
        <v>Sat</v>
      </c>
      <c r="BP31" s="2" t="str">
        <f ca="1"/>
        <v>--</v>
      </c>
      <c r="BQ31" s="2" t="str">
        <f ca="1"/>
        <v>--</v>
      </c>
      <c r="BR31" s="2" t="b">
        <f ca="1"/>
        <v>0</v>
      </c>
      <c r="BS31" s="2" t="b">
        <f ca="1"/>
        <v>0</v>
      </c>
      <c r="BT31" s="2" t="b">
        <f ca="1"/>
        <v>0</v>
      </c>
      <c r="BU31" s="2">
        <f ca="1"/>
        <v>46384</v>
      </c>
      <c r="BV31" s="2" t="str">
        <f ca="1"/>
        <v>-9 days</v>
      </c>
      <c r="BW31" s="2">
        <f ca="1"/>
        <v>-9</v>
      </c>
      <c r="BX31" s="2">
        <f ca="1"/>
        <v>30</v>
      </c>
      <c r="BY31" s="2" t="str">
        <f ca="1"/>
        <v>--</v>
      </c>
    </row>
    <row r="32" spans="3:77" ht="27" customHeight="1" x14ac:dyDescent="0.2">
      <c r="C32" s="140">
        <v>9</v>
      </c>
      <c r="D32" s="141" t="str">
        <v>PROJ</v>
      </c>
      <c r="E32" s="142">
        <v>25</v>
      </c>
      <c r="F32" s="143">
        <v>48</v>
      </c>
      <c r="G32" s="144" t="str">
        <v>Wk 48</v>
      </c>
      <c r="H32" s="145" t="str">
        <v>10</v>
      </c>
      <c r="I32" s="146" t="str">
        <v>1038:1049,1052:1055</v>
      </c>
      <c r="J32" s="137">
        <v>16</v>
      </c>
      <c r="K32" s="154" t="b">
        <v>0</v>
      </c>
      <c r="L32" s="132" t="str">
        <v>--</v>
      </c>
      <c r="M32" s="132" t="str">
        <v>--</v>
      </c>
      <c r="N32" s="132" t="str">
        <v>(11/23/26-11/29/26)</v>
      </c>
      <c r="O32" s="154" t="b">
        <v>0</v>
      </c>
      <c r="P32" s="147">
        <v>46352</v>
      </c>
      <c r="Q32" s="138">
        <v>5</v>
      </c>
      <c r="R32" s="154" t="b">
        <v>0</v>
      </c>
      <c r="S32" s="147">
        <v>46357</v>
      </c>
      <c r="T32" s="132" t="str">
        <v>--</v>
      </c>
      <c r="U32" s="138">
        <v>20</v>
      </c>
      <c r="V32" s="154" t="b">
        <v>0</v>
      </c>
      <c r="W32" s="147">
        <v>46377</v>
      </c>
      <c r="X32" s="138">
        <v>5</v>
      </c>
      <c r="Y32" s="154" t="b">
        <v>0</v>
      </c>
      <c r="Z32" s="154" t="b">
        <v>0</v>
      </c>
      <c r="AA32" s="147">
        <v>46382</v>
      </c>
      <c r="AB32" s="148" t="str">
        <v>Sat</v>
      </c>
      <c r="AC32" s="149" t="str">
        <v>--</v>
      </c>
      <c r="AD32" s="132" t="str">
        <v>--</v>
      </c>
      <c r="AE32" s="154" t="b">
        <v>0</v>
      </c>
      <c r="AF32" s="228" t="b">
        <v>0</v>
      </c>
      <c r="AG32" s="154" t="b">
        <v>0</v>
      </c>
      <c r="AH32" s="139">
        <v>46384</v>
      </c>
      <c r="AI32" s="150" t="str">
        <v>-2 days</v>
      </c>
      <c r="AJ32" s="138">
        <v>-2</v>
      </c>
      <c r="AK32" s="151">
        <v>30</v>
      </c>
      <c r="AL32" s="152" t="str">
        <v>--</v>
      </c>
      <c r="AP32" s="2">
        <f ca="1"/>
        <v>9</v>
      </c>
      <c r="AQ32" s="2" t="str">
        <f ca="1"/>
        <v>PROJ</v>
      </c>
      <c r="AR32" s="2">
        <f ca="1"/>
        <v>24</v>
      </c>
      <c r="AS32" s="2">
        <f ca="1"/>
        <v>48</v>
      </c>
      <c r="AT32" s="2" t="str">
        <f ca="1"/>
        <v>Wk 48</v>
      </c>
      <c r="AU32" s="2" t="str">
        <f ca="1"/>
        <v>10</v>
      </c>
      <c r="AV32" s="2" t="str">
        <f ca="1"/>
        <v>1020:1037</v>
      </c>
      <c r="AW32" s="2">
        <f ca="1"/>
        <v>18</v>
      </c>
      <c r="AX32" s="2" t="b">
        <f ca="1"/>
        <v>0</v>
      </c>
      <c r="AY32" s="2" t="str">
        <f ca="1"/>
        <v>--</v>
      </c>
      <c r="AZ32" s="2" t="str">
        <f ca="1"/>
        <v>--</v>
      </c>
      <c r="BA32" s="2" t="str">
        <f ca="1"/>
        <v>(11/23/26-11/29/26)</v>
      </c>
      <c r="BB32" s="2" t="b">
        <f ca="1"/>
        <v>0</v>
      </c>
      <c r="BC32" s="2">
        <f ca="1"/>
        <v>46352</v>
      </c>
      <c r="BD32" s="2">
        <f ca="1"/>
        <v>5</v>
      </c>
      <c r="BE32" s="2" t="b">
        <f ca="1"/>
        <v>0</v>
      </c>
      <c r="BF32" s="2">
        <f ca="1"/>
        <v>46357</v>
      </c>
      <c r="BG32" s="2" t="str">
        <f ca="1"/>
        <v>--</v>
      </c>
      <c r="BH32" s="2">
        <f ca="1"/>
        <v>20</v>
      </c>
      <c r="BI32" s="2" t="b">
        <f ca="1"/>
        <v>0</v>
      </c>
      <c r="BJ32" s="2">
        <f ca="1"/>
        <v>46377</v>
      </c>
      <c r="BK32" s="2">
        <f ca="1"/>
        <v>5</v>
      </c>
      <c r="BL32" s="2" t="b">
        <f ca="1"/>
        <v>0</v>
      </c>
      <c r="BM32" s="2" t="b">
        <f ca="1"/>
        <v>0</v>
      </c>
      <c r="BN32" s="2">
        <f ca="1"/>
        <v>46382</v>
      </c>
      <c r="BO32" s="2" t="str">
        <f ca="1"/>
        <v>Sat</v>
      </c>
      <c r="BP32" s="2" t="str">
        <f ca="1"/>
        <v>--</v>
      </c>
      <c r="BQ32" s="2" t="str">
        <f ca="1"/>
        <v>--</v>
      </c>
      <c r="BR32" s="2" t="b">
        <f ca="1"/>
        <v>0</v>
      </c>
      <c r="BS32" s="2" t="b">
        <f ca="1"/>
        <v>0</v>
      </c>
      <c r="BT32" s="2" t="b">
        <f ca="1"/>
        <v>0</v>
      </c>
      <c r="BU32" s="2">
        <f ca="1"/>
        <v>46384</v>
      </c>
      <c r="BV32" s="2" t="str">
        <f ca="1"/>
        <v>-2 days</v>
      </c>
      <c r="BW32" s="2">
        <f ca="1"/>
        <v>-2</v>
      </c>
      <c r="BX32" s="2">
        <f ca="1"/>
        <v>30</v>
      </c>
      <c r="BY32" s="2" t="str">
        <f ca="1"/>
        <v>--</v>
      </c>
    </row>
    <row r="33" spans="3:77" ht="27" customHeight="1" x14ac:dyDescent="0.2">
      <c r="C33" s="140">
        <v>9</v>
      </c>
      <c r="D33" s="141" t="str">
        <v>PROJ</v>
      </c>
      <c r="E33" s="142">
        <v>26</v>
      </c>
      <c r="F33" s="143">
        <v>49</v>
      </c>
      <c r="G33" s="144" t="str">
        <v>Wk 49</v>
      </c>
      <c r="H33" s="145" t="str">
        <v>10,11</v>
      </c>
      <c r="I33" s="146" t="str">
        <v>1056:1058,1101:1115</v>
      </c>
      <c r="J33" s="137">
        <v>18</v>
      </c>
      <c r="K33" s="154" t="b">
        <v>0</v>
      </c>
      <c r="L33" s="132" t="str">
        <v>--</v>
      </c>
      <c r="M33" s="132" t="str">
        <v>--</v>
      </c>
      <c r="N33" s="132" t="str">
        <v>(11/30/26-12/06/26)</v>
      </c>
      <c r="O33" s="154" t="b">
        <v>0</v>
      </c>
      <c r="P33" s="147">
        <v>46359</v>
      </c>
      <c r="Q33" s="138">
        <v>5</v>
      </c>
      <c r="R33" s="154" t="b">
        <v>0</v>
      </c>
      <c r="S33" s="147">
        <v>46364</v>
      </c>
      <c r="T33" s="132" t="str">
        <v>--</v>
      </c>
      <c r="U33" s="138">
        <v>20</v>
      </c>
      <c r="V33" s="154" t="b">
        <v>0</v>
      </c>
      <c r="W33" s="147">
        <v>46384</v>
      </c>
      <c r="X33" s="138">
        <v>5</v>
      </c>
      <c r="Y33" s="154" t="b">
        <v>0</v>
      </c>
      <c r="Z33" s="154" t="b">
        <v>0</v>
      </c>
      <c r="AA33" s="147">
        <v>46389</v>
      </c>
      <c r="AB33" s="148" t="str">
        <v>Sat</v>
      </c>
      <c r="AC33" s="149" t="str">
        <v>--</v>
      </c>
      <c r="AD33" s="132" t="str">
        <v>--</v>
      </c>
      <c r="AE33" s="154" t="b">
        <v>0</v>
      </c>
      <c r="AF33" s="228" t="b">
        <v>0</v>
      </c>
      <c r="AG33" s="154" t="b">
        <v>0</v>
      </c>
      <c r="AH33" s="139">
        <v>46384</v>
      </c>
      <c r="AI33" s="150" t="str">
        <v>+5 days</v>
      </c>
      <c r="AJ33" s="138">
        <v>5</v>
      </c>
      <c r="AK33" s="151">
        <v>30</v>
      </c>
      <c r="AL33" s="152" t="str">
        <v>--</v>
      </c>
      <c r="AP33" s="2">
        <f ca="1"/>
        <v>9</v>
      </c>
      <c r="AQ33" s="2" t="str">
        <f ca="1"/>
        <v>PROJ</v>
      </c>
      <c r="AR33" s="2">
        <f ca="1"/>
        <v>25</v>
      </c>
      <c r="AS33" s="2">
        <f ca="1"/>
        <v>48</v>
      </c>
      <c r="AT33" s="2" t="str">
        <f ca="1"/>
        <v>Wk 48</v>
      </c>
      <c r="AU33" s="2" t="str">
        <f ca="1"/>
        <v>10</v>
      </c>
      <c r="AV33" s="2" t="str">
        <f ca="1"/>
        <v>1038:1049,1052:1055</v>
      </c>
      <c r="AW33" s="2">
        <f ca="1"/>
        <v>16</v>
      </c>
      <c r="AX33" s="2" t="b">
        <f ca="1"/>
        <v>0</v>
      </c>
      <c r="AY33" s="2" t="str">
        <f ca="1"/>
        <v>--</v>
      </c>
      <c r="AZ33" s="2" t="str">
        <f ca="1"/>
        <v>--</v>
      </c>
      <c r="BA33" s="2" t="str">
        <f ca="1"/>
        <v>(11/23/26-11/29/26)</v>
      </c>
      <c r="BB33" s="2" t="b">
        <f ca="1"/>
        <v>0</v>
      </c>
      <c r="BC33" s="2">
        <f ca="1"/>
        <v>46352</v>
      </c>
      <c r="BD33" s="2">
        <f ca="1"/>
        <v>5</v>
      </c>
      <c r="BE33" s="2" t="b">
        <f ca="1"/>
        <v>0</v>
      </c>
      <c r="BF33" s="2">
        <f ca="1"/>
        <v>46357</v>
      </c>
      <c r="BG33" s="2" t="str">
        <f ca="1"/>
        <v>--</v>
      </c>
      <c r="BH33" s="2">
        <f ca="1"/>
        <v>20</v>
      </c>
      <c r="BI33" s="2" t="b">
        <f ca="1"/>
        <v>0</v>
      </c>
      <c r="BJ33" s="2">
        <f ca="1"/>
        <v>46377</v>
      </c>
      <c r="BK33" s="2">
        <f ca="1"/>
        <v>5</v>
      </c>
      <c r="BL33" s="2" t="b">
        <f ca="1"/>
        <v>0</v>
      </c>
      <c r="BM33" s="2" t="b">
        <f ca="1"/>
        <v>0</v>
      </c>
      <c r="BN33" s="2">
        <f ca="1"/>
        <v>46382</v>
      </c>
      <c r="BO33" s="2" t="str">
        <f ca="1"/>
        <v>Sat</v>
      </c>
      <c r="BP33" s="2" t="str">
        <f ca="1"/>
        <v>--</v>
      </c>
      <c r="BQ33" s="2" t="str">
        <f ca="1"/>
        <v>--</v>
      </c>
      <c r="BR33" s="2" t="b">
        <f ca="1"/>
        <v>0</v>
      </c>
      <c r="BS33" s="2" t="b">
        <f ca="1"/>
        <v>0</v>
      </c>
      <c r="BT33" s="2" t="b">
        <f ca="1"/>
        <v>0</v>
      </c>
      <c r="BU33" s="2">
        <f ca="1"/>
        <v>46384</v>
      </c>
      <c r="BV33" s="2" t="str">
        <f ca="1"/>
        <v>-2 days</v>
      </c>
      <c r="BW33" s="2">
        <f ca="1"/>
        <v>-2</v>
      </c>
      <c r="BX33" s="2">
        <f ca="1"/>
        <v>30</v>
      </c>
      <c r="BY33" s="2" t="str">
        <f ca="1"/>
        <v>--</v>
      </c>
    </row>
    <row r="34" spans="3:77" ht="27" customHeight="1" x14ac:dyDescent="0.2">
      <c r="C34" s="140">
        <v>9</v>
      </c>
      <c r="D34" s="141" t="str">
        <v>PROJ</v>
      </c>
      <c r="E34" s="142">
        <v>27</v>
      </c>
      <c r="F34" s="143">
        <v>49</v>
      </c>
      <c r="G34" s="144" t="str">
        <v>Wk 49</v>
      </c>
      <c r="H34" s="145" t="str">
        <v>11</v>
      </c>
      <c r="I34" s="146" t="str">
        <v>1116:1133</v>
      </c>
      <c r="J34" s="137">
        <v>18</v>
      </c>
      <c r="K34" s="154" t="b">
        <v>0</v>
      </c>
      <c r="L34" s="132" t="str">
        <v>--</v>
      </c>
      <c r="M34" s="132" t="str">
        <v>--</v>
      </c>
      <c r="N34" s="132" t="str">
        <v>(11/30/26-12/06/26)</v>
      </c>
      <c r="O34" s="154" t="b">
        <v>0</v>
      </c>
      <c r="P34" s="147">
        <v>46359</v>
      </c>
      <c r="Q34" s="138">
        <v>5</v>
      </c>
      <c r="R34" s="154" t="b">
        <v>0</v>
      </c>
      <c r="S34" s="147">
        <v>46364</v>
      </c>
      <c r="T34" s="132" t="str">
        <v>--</v>
      </c>
      <c r="U34" s="138">
        <v>20</v>
      </c>
      <c r="V34" s="154" t="b">
        <v>0</v>
      </c>
      <c r="W34" s="147">
        <v>46384</v>
      </c>
      <c r="X34" s="138">
        <v>5</v>
      </c>
      <c r="Y34" s="154" t="b">
        <v>0</v>
      </c>
      <c r="Z34" s="154" t="b">
        <v>0</v>
      </c>
      <c r="AA34" s="147">
        <v>46389</v>
      </c>
      <c r="AB34" s="148" t="str">
        <v>Sat</v>
      </c>
      <c r="AC34" s="149" t="str">
        <v>--</v>
      </c>
      <c r="AD34" s="132" t="str">
        <v>--</v>
      </c>
      <c r="AE34" s="154" t="b">
        <v>0</v>
      </c>
      <c r="AF34" s="228" t="b">
        <v>0</v>
      </c>
      <c r="AG34" s="154" t="b">
        <v>0</v>
      </c>
      <c r="AH34" s="139">
        <v>46398</v>
      </c>
      <c r="AI34" s="150" t="str">
        <v>-9 days</v>
      </c>
      <c r="AJ34" s="138">
        <v>-9</v>
      </c>
      <c r="AK34" s="151">
        <v>30</v>
      </c>
      <c r="AL34" s="152" t="str">
        <v>--</v>
      </c>
      <c r="AP34" s="2">
        <f ca="1"/>
        <v>9</v>
      </c>
      <c r="AQ34" s="2" t="str">
        <f ca="1"/>
        <v>PROJ</v>
      </c>
      <c r="AR34" s="2">
        <f ca="1"/>
        <v>26</v>
      </c>
      <c r="AS34" s="2">
        <f ca="1"/>
        <v>49</v>
      </c>
      <c r="AT34" s="2" t="str">
        <f ca="1"/>
        <v>Wk 49</v>
      </c>
      <c r="AU34" s="2" t="str">
        <f ca="1"/>
        <v>10,11</v>
      </c>
      <c r="AV34" s="2" t="str">
        <f ca="1"/>
        <v>1056:1058,1101:1115</v>
      </c>
      <c r="AW34" s="2">
        <f ca="1"/>
        <v>18</v>
      </c>
      <c r="AX34" s="2" t="b">
        <f ca="1"/>
        <v>0</v>
      </c>
      <c r="AY34" s="2" t="str">
        <f ca="1"/>
        <v>--</v>
      </c>
      <c r="AZ34" s="2" t="str">
        <f ca="1"/>
        <v>--</v>
      </c>
      <c r="BA34" s="2" t="str">
        <f ca="1"/>
        <v>(11/30/26-12/06/26)</v>
      </c>
      <c r="BB34" s="2" t="b">
        <f ca="1"/>
        <v>0</v>
      </c>
      <c r="BC34" s="2">
        <f ca="1"/>
        <v>46359</v>
      </c>
      <c r="BD34" s="2">
        <f ca="1"/>
        <v>5</v>
      </c>
      <c r="BE34" s="2" t="b">
        <f ca="1"/>
        <v>0</v>
      </c>
      <c r="BF34" s="2">
        <f ca="1"/>
        <v>46364</v>
      </c>
      <c r="BG34" s="2" t="str">
        <f ca="1"/>
        <v>--</v>
      </c>
      <c r="BH34" s="2">
        <f ca="1"/>
        <v>20</v>
      </c>
      <c r="BI34" s="2" t="b">
        <f ca="1"/>
        <v>0</v>
      </c>
      <c r="BJ34" s="2">
        <f ca="1"/>
        <v>46384</v>
      </c>
      <c r="BK34" s="2">
        <f ca="1"/>
        <v>5</v>
      </c>
      <c r="BL34" s="2" t="b">
        <f ca="1"/>
        <v>0</v>
      </c>
      <c r="BM34" s="2" t="b">
        <f ca="1"/>
        <v>0</v>
      </c>
      <c r="BN34" s="2">
        <f ca="1"/>
        <v>46389</v>
      </c>
      <c r="BO34" s="2" t="str">
        <f ca="1"/>
        <v>Sat</v>
      </c>
      <c r="BP34" s="2" t="str">
        <f ca="1"/>
        <v>--</v>
      </c>
      <c r="BQ34" s="2" t="str">
        <f ca="1"/>
        <v>--</v>
      </c>
      <c r="BR34" s="2" t="b">
        <f ca="1"/>
        <v>0</v>
      </c>
      <c r="BS34" s="2" t="b">
        <f ca="1"/>
        <v>0</v>
      </c>
      <c r="BT34" s="2" t="b">
        <f ca="1"/>
        <v>0</v>
      </c>
      <c r="BU34" s="2">
        <f ca="1"/>
        <v>46384</v>
      </c>
      <c r="BV34" s="2" t="str">
        <f ca="1"/>
        <v>+5 days</v>
      </c>
      <c r="BW34" s="2">
        <f ca="1"/>
        <v>5</v>
      </c>
      <c r="BX34" s="2">
        <f ca="1"/>
        <v>30</v>
      </c>
      <c r="BY34" s="2" t="str">
        <f ca="1"/>
        <v>--</v>
      </c>
    </row>
    <row r="35" spans="3:77" ht="27" customHeight="1" x14ac:dyDescent="0.2">
      <c r="C35" s="140">
        <v>9</v>
      </c>
      <c r="D35" s="141" t="str">
        <v>PROJ</v>
      </c>
      <c r="E35" s="142">
        <v>28</v>
      </c>
      <c r="F35" s="143">
        <v>50</v>
      </c>
      <c r="G35" s="144" t="str">
        <v>Wk 50</v>
      </c>
      <c r="H35" s="145" t="str">
        <v>11</v>
      </c>
      <c r="I35" s="146" t="str">
        <v>1134:1149</v>
      </c>
      <c r="J35" s="137">
        <v>16</v>
      </c>
      <c r="K35" s="154" t="b">
        <v>0</v>
      </c>
      <c r="L35" s="132" t="str">
        <v>--</v>
      </c>
      <c r="M35" s="132" t="str">
        <v>--</v>
      </c>
      <c r="N35" s="132" t="str">
        <v>(12/07/26-12/13/26)</v>
      </c>
      <c r="O35" s="154" t="b">
        <v>0</v>
      </c>
      <c r="P35" s="147">
        <v>46366</v>
      </c>
      <c r="Q35" s="138">
        <v>5</v>
      </c>
      <c r="R35" s="154" t="b">
        <v>0</v>
      </c>
      <c r="S35" s="147">
        <v>46371</v>
      </c>
      <c r="T35" s="132" t="str">
        <v>--</v>
      </c>
      <c r="U35" s="138">
        <v>20</v>
      </c>
      <c r="V35" s="154" t="b">
        <v>0</v>
      </c>
      <c r="W35" s="147">
        <v>46391</v>
      </c>
      <c r="X35" s="138">
        <v>5</v>
      </c>
      <c r="Y35" s="154" t="b">
        <v>0</v>
      </c>
      <c r="Z35" s="154" t="b">
        <v>0</v>
      </c>
      <c r="AA35" s="147">
        <v>46396</v>
      </c>
      <c r="AB35" s="148" t="str">
        <v>Sat</v>
      </c>
      <c r="AC35" s="149" t="str">
        <v>--</v>
      </c>
      <c r="AD35" s="132" t="str">
        <v>--</v>
      </c>
      <c r="AE35" s="154" t="b">
        <v>0</v>
      </c>
      <c r="AF35" s="228" t="b">
        <v>0</v>
      </c>
      <c r="AG35" s="154" t="b">
        <v>0</v>
      </c>
      <c r="AH35" s="139">
        <v>46398</v>
      </c>
      <c r="AI35" s="150" t="str">
        <v>-2 days</v>
      </c>
      <c r="AJ35" s="138">
        <v>-2</v>
      </c>
      <c r="AK35" s="151">
        <v>30</v>
      </c>
      <c r="AL35" s="152" t="str">
        <v>--</v>
      </c>
      <c r="AP35" s="2">
        <f ca="1"/>
        <v>9</v>
      </c>
      <c r="AQ35" s="2" t="str">
        <f ca="1"/>
        <v>PROJ</v>
      </c>
      <c r="AR35" s="2">
        <f ca="1"/>
        <v>27</v>
      </c>
      <c r="AS35" s="2">
        <f ca="1"/>
        <v>49</v>
      </c>
      <c r="AT35" s="2" t="str">
        <f ca="1"/>
        <v>Wk 49</v>
      </c>
      <c r="AU35" s="2" t="str">
        <f ca="1"/>
        <v>11</v>
      </c>
      <c r="AV35" s="2" t="str">
        <f ca="1"/>
        <v>1116:1133</v>
      </c>
      <c r="AW35" s="2">
        <f ca="1"/>
        <v>18</v>
      </c>
      <c r="AX35" s="2" t="b">
        <f ca="1"/>
        <v>0</v>
      </c>
      <c r="AY35" s="2" t="str">
        <f ca="1"/>
        <v>--</v>
      </c>
      <c r="AZ35" s="2" t="str">
        <f ca="1"/>
        <v>--</v>
      </c>
      <c r="BA35" s="2" t="str">
        <f ca="1"/>
        <v>(11/30/26-12/06/26)</v>
      </c>
      <c r="BB35" s="2" t="b">
        <f ca="1"/>
        <v>0</v>
      </c>
      <c r="BC35" s="2">
        <f ca="1"/>
        <v>46359</v>
      </c>
      <c r="BD35" s="2">
        <f ca="1"/>
        <v>5</v>
      </c>
      <c r="BE35" s="2" t="b">
        <f ca="1"/>
        <v>0</v>
      </c>
      <c r="BF35" s="2">
        <f ca="1"/>
        <v>46364</v>
      </c>
      <c r="BG35" s="2" t="str">
        <f ca="1"/>
        <v>--</v>
      </c>
      <c r="BH35" s="2">
        <f ca="1"/>
        <v>20</v>
      </c>
      <c r="BI35" s="2" t="b">
        <f ca="1"/>
        <v>0</v>
      </c>
      <c r="BJ35" s="2">
        <f ca="1"/>
        <v>46384</v>
      </c>
      <c r="BK35" s="2">
        <f ca="1"/>
        <v>5</v>
      </c>
      <c r="BL35" s="2" t="b">
        <f ca="1"/>
        <v>0</v>
      </c>
      <c r="BM35" s="2" t="b">
        <f ca="1"/>
        <v>0</v>
      </c>
      <c r="BN35" s="2">
        <f ca="1"/>
        <v>46389</v>
      </c>
      <c r="BO35" s="2" t="str">
        <f ca="1"/>
        <v>Sat</v>
      </c>
      <c r="BP35" s="2" t="str">
        <f ca="1"/>
        <v>--</v>
      </c>
      <c r="BQ35" s="2" t="str">
        <f ca="1"/>
        <v>--</v>
      </c>
      <c r="BR35" s="2" t="b">
        <f ca="1"/>
        <v>0</v>
      </c>
      <c r="BS35" s="2" t="b">
        <f ca="1"/>
        <v>0</v>
      </c>
      <c r="BT35" s="2" t="b">
        <f ca="1"/>
        <v>0</v>
      </c>
      <c r="BU35" s="2">
        <f ca="1"/>
        <v>46398</v>
      </c>
      <c r="BV35" s="2" t="str">
        <f ca="1"/>
        <v>-9 days</v>
      </c>
      <c r="BW35" s="2">
        <f ca="1"/>
        <v>-9</v>
      </c>
      <c r="BX35" s="2">
        <f ca="1"/>
        <v>30</v>
      </c>
      <c r="BY35" s="2" t="str">
        <f ca="1"/>
        <v>--</v>
      </c>
    </row>
    <row r="36" spans="3:77" ht="27" customHeight="1" x14ac:dyDescent="0.2">
      <c r="C36" s="140">
        <v>9</v>
      </c>
      <c r="D36" s="141" t="str">
        <v>PROJ</v>
      </c>
      <c r="E36" s="142">
        <v>29</v>
      </c>
      <c r="F36" s="143">
        <v>50</v>
      </c>
      <c r="G36" s="144" t="str">
        <v>Wk 50</v>
      </c>
      <c r="H36" s="145" t="str">
        <v>11,12</v>
      </c>
      <c r="I36" s="146" t="str">
        <v>1152:1158,1201:1211</v>
      </c>
      <c r="J36" s="137">
        <v>18</v>
      </c>
      <c r="K36" s="154" t="b">
        <v>0</v>
      </c>
      <c r="L36" s="132" t="str">
        <v>--</v>
      </c>
      <c r="M36" s="132" t="str">
        <v>--</v>
      </c>
      <c r="N36" s="132" t="str">
        <v>(12/07/26-12/13/26)</v>
      </c>
      <c r="O36" s="154" t="b">
        <v>0</v>
      </c>
      <c r="P36" s="147">
        <v>46366</v>
      </c>
      <c r="Q36" s="138">
        <v>5</v>
      </c>
      <c r="R36" s="154" t="b">
        <v>0</v>
      </c>
      <c r="S36" s="147">
        <v>46371</v>
      </c>
      <c r="T36" s="132" t="str">
        <v>--</v>
      </c>
      <c r="U36" s="138">
        <v>20</v>
      </c>
      <c r="V36" s="154" t="b">
        <v>0</v>
      </c>
      <c r="W36" s="147">
        <v>46391</v>
      </c>
      <c r="X36" s="138">
        <v>5</v>
      </c>
      <c r="Y36" s="154" t="b">
        <v>0</v>
      </c>
      <c r="Z36" s="154" t="b">
        <v>0</v>
      </c>
      <c r="AA36" s="147">
        <v>46396</v>
      </c>
      <c r="AB36" s="148" t="str">
        <v>Sat</v>
      </c>
      <c r="AC36" s="149" t="str">
        <v>--</v>
      </c>
      <c r="AD36" s="132" t="str">
        <v>--</v>
      </c>
      <c r="AE36" s="154" t="b">
        <v>0</v>
      </c>
      <c r="AF36" s="228" t="b">
        <v>0</v>
      </c>
      <c r="AG36" s="154" t="b">
        <v>0</v>
      </c>
      <c r="AH36" s="139">
        <v>46398</v>
      </c>
      <c r="AI36" s="150" t="str">
        <v>-2 days</v>
      </c>
      <c r="AJ36" s="138">
        <v>-2</v>
      </c>
      <c r="AK36" s="151">
        <v>30</v>
      </c>
      <c r="AL36" s="152" t="str">
        <v>HOIST</v>
      </c>
      <c r="AP36" s="2">
        <f ca="1"/>
        <v>9</v>
      </c>
      <c r="AQ36" s="2" t="str">
        <f ca="1"/>
        <v>PROJ</v>
      </c>
      <c r="AR36" s="2">
        <f ca="1"/>
        <v>28</v>
      </c>
      <c r="AS36" s="2">
        <f ca="1"/>
        <v>50</v>
      </c>
      <c r="AT36" s="2" t="str">
        <f ca="1"/>
        <v>Wk 50</v>
      </c>
      <c r="AU36" s="2" t="str">
        <f ca="1"/>
        <v>11</v>
      </c>
      <c r="AV36" s="2" t="str">
        <f ca="1"/>
        <v>1134:1149</v>
      </c>
      <c r="AW36" s="2">
        <f ca="1"/>
        <v>16</v>
      </c>
      <c r="AX36" s="2" t="b">
        <f ca="1"/>
        <v>0</v>
      </c>
      <c r="AY36" s="2" t="str">
        <f ca="1"/>
        <v>--</v>
      </c>
      <c r="AZ36" s="2" t="str">
        <f ca="1"/>
        <v>--</v>
      </c>
      <c r="BA36" s="2" t="str">
        <f ca="1"/>
        <v>(12/07/26-12/13/26)</v>
      </c>
      <c r="BB36" s="2" t="b">
        <f ca="1"/>
        <v>0</v>
      </c>
      <c r="BC36" s="2">
        <f ca="1"/>
        <v>46366</v>
      </c>
      <c r="BD36" s="2">
        <f ca="1"/>
        <v>5</v>
      </c>
      <c r="BE36" s="2" t="b">
        <f ca="1"/>
        <v>0</v>
      </c>
      <c r="BF36" s="2">
        <f ca="1"/>
        <v>46371</v>
      </c>
      <c r="BG36" s="2" t="str">
        <f ca="1"/>
        <v>--</v>
      </c>
      <c r="BH36" s="2">
        <f ca="1"/>
        <v>20</v>
      </c>
      <c r="BI36" s="2" t="b">
        <f ca="1"/>
        <v>0</v>
      </c>
      <c r="BJ36" s="2">
        <f ca="1"/>
        <v>46391</v>
      </c>
      <c r="BK36" s="2">
        <f ca="1"/>
        <v>5</v>
      </c>
      <c r="BL36" s="2" t="b">
        <f ca="1"/>
        <v>0</v>
      </c>
      <c r="BM36" s="2" t="b">
        <f ca="1"/>
        <v>0</v>
      </c>
      <c r="BN36" s="2">
        <f ca="1"/>
        <v>46396</v>
      </c>
      <c r="BO36" s="2" t="str">
        <f ca="1"/>
        <v>Sat</v>
      </c>
      <c r="BP36" s="2" t="str">
        <f ca="1"/>
        <v>--</v>
      </c>
      <c r="BQ36" s="2" t="str">
        <f ca="1"/>
        <v>--</v>
      </c>
      <c r="BR36" s="2" t="b">
        <f ca="1"/>
        <v>0</v>
      </c>
      <c r="BS36" s="2" t="b">
        <f ca="1"/>
        <v>0</v>
      </c>
      <c r="BT36" s="2" t="b">
        <f ca="1"/>
        <v>0</v>
      </c>
      <c r="BU36" s="2">
        <f ca="1"/>
        <v>46398</v>
      </c>
      <c r="BV36" s="2" t="str">
        <f ca="1"/>
        <v>-2 days</v>
      </c>
      <c r="BW36" s="2">
        <f ca="1"/>
        <v>-2</v>
      </c>
      <c r="BX36" s="2">
        <f ca="1"/>
        <v>30</v>
      </c>
      <c r="BY36" s="2" t="str">
        <f ca="1"/>
        <v>--</v>
      </c>
    </row>
    <row r="37" spans="3:77" ht="27" customHeight="1" x14ac:dyDescent="0.2">
      <c r="C37" s="140">
        <v>9</v>
      </c>
      <c r="D37" s="141" t="str">
        <v>PROJ</v>
      </c>
      <c r="E37" s="142">
        <v>30</v>
      </c>
      <c r="F37" s="143">
        <v>51</v>
      </c>
      <c r="G37" s="144" t="str">
        <v>Wk 51</v>
      </c>
      <c r="H37" s="145" t="str">
        <v>12</v>
      </c>
      <c r="I37" s="146" t="str">
        <v>1212:1229</v>
      </c>
      <c r="J37" s="137">
        <v>18</v>
      </c>
      <c r="K37" s="154" t="b">
        <v>0</v>
      </c>
      <c r="L37" s="132" t="str">
        <v>--</v>
      </c>
      <c r="M37" s="132" t="str">
        <v>--</v>
      </c>
      <c r="N37" s="132" t="str">
        <v>(12/14/26-12/20/26)</v>
      </c>
      <c r="O37" s="154" t="b">
        <v>0</v>
      </c>
      <c r="P37" s="147">
        <v>46373</v>
      </c>
      <c r="Q37" s="138">
        <v>5</v>
      </c>
      <c r="R37" s="154" t="b">
        <v>0</v>
      </c>
      <c r="S37" s="147">
        <v>46378</v>
      </c>
      <c r="T37" s="132" t="str">
        <v>--</v>
      </c>
      <c r="U37" s="138">
        <v>20</v>
      </c>
      <c r="V37" s="154" t="b">
        <v>0</v>
      </c>
      <c r="W37" s="147">
        <v>46398</v>
      </c>
      <c r="X37" s="138">
        <v>5</v>
      </c>
      <c r="Y37" s="154" t="b">
        <v>0</v>
      </c>
      <c r="Z37" s="154" t="b">
        <v>0</v>
      </c>
      <c r="AA37" s="147">
        <v>46403</v>
      </c>
      <c r="AB37" s="148" t="str">
        <v>Sat</v>
      </c>
      <c r="AC37" s="149" t="str">
        <v>--</v>
      </c>
      <c r="AD37" s="132" t="str">
        <v>--</v>
      </c>
      <c r="AE37" s="154" t="b">
        <v>0</v>
      </c>
      <c r="AF37" s="228" t="b">
        <v>0</v>
      </c>
      <c r="AG37" s="154" t="b">
        <v>0</v>
      </c>
      <c r="AH37" s="139">
        <v>46412</v>
      </c>
      <c r="AI37" s="150" t="str">
        <v>-9 days</v>
      </c>
      <c r="AJ37" s="138">
        <v>-9</v>
      </c>
      <c r="AK37" s="151">
        <v>30</v>
      </c>
      <c r="AL37" s="152" t="str">
        <v>HOIST</v>
      </c>
      <c r="AP37" s="2">
        <f ca="1"/>
        <v>9</v>
      </c>
      <c r="AQ37" s="2" t="str">
        <f ca="1"/>
        <v>PROJ</v>
      </c>
      <c r="AR37" s="2">
        <f ca="1"/>
        <v>29</v>
      </c>
      <c r="AS37" s="2">
        <f ca="1"/>
        <v>50</v>
      </c>
      <c r="AT37" s="2" t="str">
        <f ca="1"/>
        <v>Wk 50</v>
      </c>
      <c r="AU37" s="2" t="str">
        <f ca="1"/>
        <v>11,12</v>
      </c>
      <c r="AV37" s="2" t="str">
        <f ca="1"/>
        <v>1152:1158,1201:1211</v>
      </c>
      <c r="AW37" s="2">
        <f ca="1"/>
        <v>18</v>
      </c>
      <c r="AX37" s="2" t="b">
        <f ca="1"/>
        <v>0</v>
      </c>
      <c r="AY37" s="2" t="str">
        <f ca="1"/>
        <v>--</v>
      </c>
      <c r="AZ37" s="2" t="str">
        <f ca="1"/>
        <v>--</v>
      </c>
      <c r="BA37" s="2" t="str">
        <f ca="1"/>
        <v>(12/07/26-12/13/26)</v>
      </c>
      <c r="BB37" s="2" t="b">
        <f ca="1"/>
        <v>0</v>
      </c>
      <c r="BC37" s="2">
        <f ca="1"/>
        <v>46366</v>
      </c>
      <c r="BD37" s="2">
        <f ca="1"/>
        <v>5</v>
      </c>
      <c r="BE37" s="2" t="b">
        <f ca="1"/>
        <v>0</v>
      </c>
      <c r="BF37" s="2">
        <f ca="1"/>
        <v>46371</v>
      </c>
      <c r="BG37" s="2" t="str">
        <f ca="1"/>
        <v>--</v>
      </c>
      <c r="BH37" s="2">
        <f ca="1"/>
        <v>20</v>
      </c>
      <c r="BI37" s="2" t="b">
        <f ca="1"/>
        <v>0</v>
      </c>
      <c r="BJ37" s="2">
        <f ca="1"/>
        <v>46391</v>
      </c>
      <c r="BK37" s="2">
        <f ca="1"/>
        <v>5</v>
      </c>
      <c r="BL37" s="2" t="b">
        <f ca="1"/>
        <v>0</v>
      </c>
      <c r="BM37" s="2" t="b">
        <f ca="1"/>
        <v>0</v>
      </c>
      <c r="BN37" s="2">
        <f ca="1"/>
        <v>46396</v>
      </c>
      <c r="BO37" s="2" t="str">
        <f ca="1"/>
        <v>Sat</v>
      </c>
      <c r="BP37" s="2" t="str">
        <f ca="1"/>
        <v>--</v>
      </c>
      <c r="BQ37" s="2" t="str">
        <f ca="1"/>
        <v>--</v>
      </c>
      <c r="BR37" s="2" t="b">
        <f ca="1"/>
        <v>0</v>
      </c>
      <c r="BS37" s="2" t="b">
        <f ca="1"/>
        <v>0</v>
      </c>
      <c r="BT37" s="2" t="b">
        <f ca="1"/>
        <v>0</v>
      </c>
      <c r="BU37" s="2">
        <f ca="1"/>
        <v>46398</v>
      </c>
      <c r="BV37" s="2" t="str">
        <f ca="1"/>
        <v>-2 days</v>
      </c>
      <c r="BW37" s="2">
        <f ca="1"/>
        <v>-2</v>
      </c>
      <c r="BX37" s="2">
        <f ca="1"/>
        <v>30</v>
      </c>
      <c r="BY37" s="2" t="str">
        <f ca="1"/>
        <v>HOIST</v>
      </c>
    </row>
    <row r="38" spans="3:77" ht="27" customHeight="1" x14ac:dyDescent="0.2">
      <c r="C38" s="140">
        <v>9</v>
      </c>
      <c r="D38" s="141" t="str">
        <v>PROJ</v>
      </c>
      <c r="E38" s="142">
        <v>31</v>
      </c>
      <c r="F38" s="143">
        <v>51</v>
      </c>
      <c r="G38" s="144" t="str">
        <v>Wk 51</v>
      </c>
      <c r="H38" s="145" t="str">
        <v>12</v>
      </c>
      <c r="I38" s="146" t="str">
        <v>1230:1247</v>
      </c>
      <c r="J38" s="137">
        <v>18</v>
      </c>
      <c r="K38" s="154" t="b">
        <v>0</v>
      </c>
      <c r="L38" s="132" t="str">
        <v>--</v>
      </c>
      <c r="M38" s="132" t="str">
        <v>--</v>
      </c>
      <c r="N38" s="132" t="str">
        <v>(12/14/26-12/20/26)</v>
      </c>
      <c r="O38" s="154" t="b">
        <v>0</v>
      </c>
      <c r="P38" s="147">
        <v>46373</v>
      </c>
      <c r="Q38" s="138">
        <v>5</v>
      </c>
      <c r="R38" s="154" t="b">
        <v>0</v>
      </c>
      <c r="S38" s="147">
        <v>46378</v>
      </c>
      <c r="T38" s="132" t="str">
        <v>--</v>
      </c>
      <c r="U38" s="138">
        <v>20</v>
      </c>
      <c r="V38" s="154" t="b">
        <v>0</v>
      </c>
      <c r="W38" s="147">
        <v>46398</v>
      </c>
      <c r="X38" s="138">
        <v>5</v>
      </c>
      <c r="Y38" s="154" t="b">
        <v>0</v>
      </c>
      <c r="Z38" s="154" t="b">
        <v>0</v>
      </c>
      <c r="AA38" s="147">
        <v>46403</v>
      </c>
      <c r="AB38" s="148" t="str">
        <v>Sat</v>
      </c>
      <c r="AC38" s="149" t="str">
        <v>--</v>
      </c>
      <c r="AD38" s="132" t="str">
        <v>--</v>
      </c>
      <c r="AE38" s="154" t="b">
        <v>0</v>
      </c>
      <c r="AF38" s="228" t="b">
        <v>0</v>
      </c>
      <c r="AG38" s="154" t="b">
        <v>0</v>
      </c>
      <c r="AH38" s="139">
        <v>46412</v>
      </c>
      <c r="AI38" s="150" t="str">
        <v>-9 days</v>
      </c>
      <c r="AJ38" s="138">
        <v>-9</v>
      </c>
      <c r="AK38" s="151">
        <v>30</v>
      </c>
      <c r="AL38" s="152" t="str">
        <v>--</v>
      </c>
      <c r="AP38" s="2">
        <f ca="1"/>
        <v>9</v>
      </c>
      <c r="AQ38" s="2" t="str">
        <f ca="1"/>
        <v>PROJ</v>
      </c>
      <c r="AR38" s="2">
        <f ca="1"/>
        <v>30</v>
      </c>
      <c r="AS38" s="2">
        <f ca="1"/>
        <v>51</v>
      </c>
      <c r="AT38" s="2" t="str">
        <f ca="1"/>
        <v>Wk 51</v>
      </c>
      <c r="AU38" s="2" t="str">
        <f ca="1"/>
        <v>12</v>
      </c>
      <c r="AV38" s="2" t="str">
        <f ca="1"/>
        <v>1212:1229</v>
      </c>
      <c r="AW38" s="2">
        <f ca="1"/>
        <v>18</v>
      </c>
      <c r="AX38" s="2" t="b">
        <f ca="1"/>
        <v>0</v>
      </c>
      <c r="AY38" s="2" t="str">
        <f ca="1"/>
        <v>--</v>
      </c>
      <c r="AZ38" s="2" t="str">
        <f ca="1"/>
        <v>--</v>
      </c>
      <c r="BA38" s="2" t="str">
        <f ca="1"/>
        <v>(12/14/26-12/20/26)</v>
      </c>
      <c r="BB38" s="2" t="b">
        <f ca="1"/>
        <v>0</v>
      </c>
      <c r="BC38" s="2">
        <f ca="1"/>
        <v>46373</v>
      </c>
      <c r="BD38" s="2">
        <f ca="1"/>
        <v>5</v>
      </c>
      <c r="BE38" s="2" t="b">
        <f ca="1"/>
        <v>0</v>
      </c>
      <c r="BF38" s="2">
        <f ca="1"/>
        <v>46378</v>
      </c>
      <c r="BG38" s="2" t="str">
        <f ca="1"/>
        <v>--</v>
      </c>
      <c r="BH38" s="2">
        <f ca="1"/>
        <v>20</v>
      </c>
      <c r="BI38" s="2" t="b">
        <f ca="1"/>
        <v>0</v>
      </c>
      <c r="BJ38" s="2">
        <f ca="1"/>
        <v>46398</v>
      </c>
      <c r="BK38" s="2">
        <f ca="1"/>
        <v>5</v>
      </c>
      <c r="BL38" s="2" t="b">
        <f ca="1"/>
        <v>0</v>
      </c>
      <c r="BM38" s="2" t="b">
        <f ca="1"/>
        <v>0</v>
      </c>
      <c r="BN38" s="2">
        <f ca="1"/>
        <v>46403</v>
      </c>
      <c r="BO38" s="2" t="str">
        <f ca="1"/>
        <v>Sat</v>
      </c>
      <c r="BP38" s="2" t="str">
        <f ca="1"/>
        <v>--</v>
      </c>
      <c r="BQ38" s="2" t="str">
        <f ca="1"/>
        <v>--</v>
      </c>
      <c r="BR38" s="2" t="b">
        <f ca="1"/>
        <v>0</v>
      </c>
      <c r="BS38" s="2" t="b">
        <f ca="1"/>
        <v>0</v>
      </c>
      <c r="BT38" s="2" t="b">
        <f ca="1"/>
        <v>0</v>
      </c>
      <c r="BU38" s="2">
        <f ca="1"/>
        <v>46412</v>
      </c>
      <c r="BV38" s="2" t="str">
        <f ca="1"/>
        <v>-9 days</v>
      </c>
      <c r="BW38" s="2">
        <f ca="1"/>
        <v>-9</v>
      </c>
      <c r="BX38" s="2">
        <f ca="1"/>
        <v>30</v>
      </c>
      <c r="BY38" s="2" t="str">
        <f ca="1"/>
        <v>HOIST</v>
      </c>
    </row>
    <row r="39" spans="3:77" ht="27" customHeight="1" x14ac:dyDescent="0.2">
      <c r="C39" s="140">
        <v>9</v>
      </c>
      <c r="D39" s="141" t="str">
        <v>PROJ</v>
      </c>
      <c r="E39" s="142" t="str">
        <v>Doors</v>
      </c>
      <c r="F39" s="143">
        <v>54</v>
      </c>
      <c r="G39" s="144" t="str">
        <v>Wk 54</v>
      </c>
      <c r="H39" s="145">
        <v>3</v>
      </c>
      <c r="I39" s="146" t="str">
        <v>3rd Floor Doors</v>
      </c>
      <c r="J39" s="137">
        <v>58</v>
      </c>
      <c r="K39" s="154" t="b">
        <v>0</v>
      </c>
      <c r="L39" s="132" t="str">
        <v>--</v>
      </c>
      <c r="M39" s="132" t="str">
        <v>--</v>
      </c>
      <c r="N39" s="132" t="str">
        <v>(01/04/27-01/10/27)</v>
      </c>
      <c r="O39" s="154" t="b">
        <v>0</v>
      </c>
      <c r="P39" s="147">
        <v>46394</v>
      </c>
      <c r="Q39" s="138">
        <v>5</v>
      </c>
      <c r="R39" s="154" t="b">
        <v>0</v>
      </c>
      <c r="S39" s="147">
        <v>46399</v>
      </c>
      <c r="T39" s="132" t="str">
        <v>--</v>
      </c>
      <c r="U39" s="138">
        <v>20</v>
      </c>
      <c r="V39" s="154" t="b">
        <v>0</v>
      </c>
      <c r="W39" s="147">
        <v>46419</v>
      </c>
      <c r="X39" s="138">
        <v>5</v>
      </c>
      <c r="Y39" s="154" t="b">
        <v>0</v>
      </c>
      <c r="Z39" s="154" t="b">
        <v>0</v>
      </c>
      <c r="AA39" s="147">
        <v>46424</v>
      </c>
      <c r="AB39" s="148" t="str">
        <v>Sat</v>
      </c>
      <c r="AC39" s="149" t="str">
        <v>--</v>
      </c>
      <c r="AD39" s="132" t="str">
        <v>--</v>
      </c>
      <c r="AE39" s="154" t="b">
        <v>0</v>
      </c>
      <c r="AF39" s="228" t="b">
        <v>0</v>
      </c>
      <c r="AG39" s="154" t="b">
        <v>0</v>
      </c>
      <c r="AH39" s="139" t="str">
        <v>unknown</v>
      </c>
      <c r="AI39" s="150" t="str">
        <v/>
      </c>
      <c r="AJ39" s="138" t="str">
        <v/>
      </c>
      <c r="AK39" s="151">
        <v>30</v>
      </c>
      <c r="AL39" s="152" t="str">
        <v>--</v>
      </c>
      <c r="AP39" s="2">
        <f ca="1"/>
        <v>9</v>
      </c>
      <c r="AQ39" s="2" t="str">
        <f ca="1"/>
        <v>PROJ</v>
      </c>
      <c r="AR39" s="2">
        <f ca="1"/>
        <v>31</v>
      </c>
      <c r="AS39" s="2">
        <f ca="1"/>
        <v>51</v>
      </c>
      <c r="AT39" s="2" t="str">
        <f ca="1"/>
        <v>Wk 51</v>
      </c>
      <c r="AU39" s="2" t="str">
        <f ca="1"/>
        <v>12</v>
      </c>
      <c r="AV39" s="2" t="str">
        <f ca="1"/>
        <v>1230:1247</v>
      </c>
      <c r="AW39" s="2">
        <f ca="1"/>
        <v>18</v>
      </c>
      <c r="AX39" s="2" t="b">
        <f ca="1"/>
        <v>0</v>
      </c>
      <c r="AY39" s="2" t="str">
        <f ca="1"/>
        <v>--</v>
      </c>
      <c r="AZ39" s="2" t="str">
        <f ca="1"/>
        <v>--</v>
      </c>
      <c r="BA39" s="2" t="str">
        <f ca="1"/>
        <v>(12/14/26-12/20/26)</v>
      </c>
      <c r="BB39" s="2" t="b">
        <f ca="1"/>
        <v>0</v>
      </c>
      <c r="BC39" s="2">
        <f ca="1"/>
        <v>46373</v>
      </c>
      <c r="BD39" s="2">
        <f ca="1"/>
        <v>5</v>
      </c>
      <c r="BE39" s="2" t="b">
        <f ca="1"/>
        <v>0</v>
      </c>
      <c r="BF39" s="2">
        <f ca="1"/>
        <v>46378</v>
      </c>
      <c r="BG39" s="2" t="str">
        <f ca="1"/>
        <v>--</v>
      </c>
      <c r="BH39" s="2">
        <f ca="1"/>
        <v>20</v>
      </c>
      <c r="BI39" s="2" t="b">
        <f ca="1"/>
        <v>0</v>
      </c>
      <c r="BJ39" s="2">
        <f ca="1"/>
        <v>46398</v>
      </c>
      <c r="BK39" s="2">
        <f ca="1"/>
        <v>5</v>
      </c>
      <c r="BL39" s="2" t="b">
        <f ca="1"/>
        <v>0</v>
      </c>
      <c r="BM39" s="2" t="b">
        <f ca="1"/>
        <v>0</v>
      </c>
      <c r="BN39" s="2">
        <f ca="1"/>
        <v>46403</v>
      </c>
      <c r="BO39" s="2" t="str">
        <f ca="1"/>
        <v>Sat</v>
      </c>
      <c r="BP39" s="2" t="str">
        <f ca="1"/>
        <v>--</v>
      </c>
      <c r="BQ39" s="2" t="str">
        <f ca="1"/>
        <v>--</v>
      </c>
      <c r="BR39" s="2" t="b">
        <f ca="1"/>
        <v>0</v>
      </c>
      <c r="BS39" s="2" t="b">
        <f ca="1"/>
        <v>0</v>
      </c>
      <c r="BT39" s="2" t="b">
        <f ca="1"/>
        <v>0</v>
      </c>
      <c r="BU39" s="2">
        <f ca="1"/>
        <v>46412</v>
      </c>
      <c r="BV39" s="2" t="str">
        <f ca="1"/>
        <v>-9 days</v>
      </c>
      <c r="BW39" s="2">
        <f ca="1"/>
        <v>-9</v>
      </c>
      <c r="BX39" s="2">
        <f ca="1"/>
        <v>30</v>
      </c>
      <c r="BY39" s="2" t="str">
        <f ca="1"/>
        <v>--</v>
      </c>
    </row>
    <row r="40" spans="3:77" ht="27" customHeight="1" x14ac:dyDescent="0.2">
      <c r="C40" s="140">
        <v>9</v>
      </c>
      <c r="D40" s="141" t="str">
        <v>PROJ</v>
      </c>
      <c r="E40" s="142" t="str">
        <v>H1</v>
      </c>
      <c r="F40" s="143">
        <v>51</v>
      </c>
      <c r="G40" s="144" t="str">
        <v>Wk 51</v>
      </c>
      <c r="H40" s="145" t="str">
        <v>3:10</v>
      </c>
      <c r="I40" s="146" t="str">
        <v>350:351,450:451,550:551,650:651,750:751,850:851,950:951,1050:1051</v>
      </c>
      <c r="J40" s="137">
        <v>16</v>
      </c>
      <c r="K40" s="154" t="b">
        <v>0</v>
      </c>
      <c r="L40" s="132" t="str">
        <v>--</v>
      </c>
      <c r="M40" s="132" t="str">
        <v>--</v>
      </c>
      <c r="N40" s="132" t="str">
        <v>(12/14/26-12/20/26)</v>
      </c>
      <c r="O40" s="154" t="b">
        <v>0</v>
      </c>
      <c r="P40" s="147">
        <v>46373</v>
      </c>
      <c r="Q40" s="138">
        <v>5</v>
      </c>
      <c r="R40" s="154" t="b">
        <v>0</v>
      </c>
      <c r="S40" s="147">
        <v>46378</v>
      </c>
      <c r="T40" s="132" t="str">
        <v>--</v>
      </c>
      <c r="U40" s="138">
        <v>20</v>
      </c>
      <c r="V40" s="154" t="b">
        <v>0</v>
      </c>
      <c r="W40" s="147">
        <v>46398</v>
      </c>
      <c r="X40" s="138">
        <v>5</v>
      </c>
      <c r="Y40" s="154" t="b">
        <v>0</v>
      </c>
      <c r="Z40" s="154" t="b">
        <v>0</v>
      </c>
      <c r="AA40" s="147">
        <v>46403</v>
      </c>
      <c r="AB40" s="148">
        <v>0</v>
      </c>
      <c r="AC40" s="149" t="str">
        <v>--</v>
      </c>
      <c r="AD40" s="132" t="str">
        <v>--</v>
      </c>
      <c r="AE40" s="154" t="b">
        <v>0</v>
      </c>
      <c r="AF40" s="228" t="b">
        <v>0</v>
      </c>
      <c r="AG40" s="154" t="b">
        <v>0</v>
      </c>
      <c r="AH40" s="139">
        <v>46384</v>
      </c>
      <c r="AI40" s="150" t="str">
        <v>+19 days</v>
      </c>
      <c r="AJ40" s="138">
        <v>19</v>
      </c>
      <c r="AK40" s="151">
        <v>30</v>
      </c>
      <c r="AL40" s="152" t="str">
        <v>--</v>
      </c>
      <c r="AP40" s="2">
        <f ca="1"/>
        <v>9</v>
      </c>
      <c r="AQ40" s="2" t="str">
        <f ca="1"/>
        <v>PROJ</v>
      </c>
      <c r="AR40" s="2" t="str">
        <f ca="1"/>
        <v>H1</v>
      </c>
      <c r="AS40" s="2">
        <f ca="1"/>
        <v>51</v>
      </c>
      <c r="AT40" s="2" t="str">
        <f ca="1"/>
        <v>Wk 51</v>
      </c>
      <c r="AU40" s="2" t="str">
        <f ca="1"/>
        <v>3:10</v>
      </c>
      <c r="AV40" s="2" t="str">
        <f ca="1"/>
        <v>350:351,450:451,550:551,650:651,750:751,850:851,950:951,1050:1051</v>
      </c>
      <c r="AW40" s="2">
        <f ca="1"/>
        <v>16</v>
      </c>
      <c r="AX40" s="2" t="b">
        <f ca="1"/>
        <v>0</v>
      </c>
      <c r="AY40" s="2" t="str">
        <f ca="1"/>
        <v>--</v>
      </c>
      <c r="AZ40" s="2" t="str">
        <f ca="1"/>
        <v>--</v>
      </c>
      <c r="BA40" s="2" t="str">
        <f ca="1"/>
        <v>(12/14/26-12/20/26)</v>
      </c>
      <c r="BB40" s="2" t="b">
        <f ca="1"/>
        <v>0</v>
      </c>
      <c r="BC40" s="2">
        <f ca="1"/>
        <v>46373</v>
      </c>
      <c r="BD40" s="2">
        <f ca="1"/>
        <v>5</v>
      </c>
      <c r="BE40" s="2" t="b">
        <f ca="1"/>
        <v>0</v>
      </c>
      <c r="BF40" s="2">
        <f ca="1"/>
        <v>46378</v>
      </c>
      <c r="BG40" s="2" t="str">
        <f ca="1"/>
        <v>--</v>
      </c>
      <c r="BH40" s="2">
        <f ca="1"/>
        <v>20</v>
      </c>
      <c r="BI40" s="2" t="b">
        <f ca="1"/>
        <v>0</v>
      </c>
      <c r="BJ40" s="2">
        <f ca="1"/>
        <v>46398</v>
      </c>
      <c r="BK40" s="2">
        <f ca="1"/>
        <v>5</v>
      </c>
      <c r="BL40" s="2" t="b">
        <f ca="1"/>
        <v>0</v>
      </c>
      <c r="BM40" s="2" t="b">
        <f ca="1"/>
        <v>0</v>
      </c>
      <c r="BN40" s="2">
        <f ca="1"/>
        <v>46403</v>
      </c>
      <c r="BO40" s="2">
        <f ca="1"/>
        <v>0</v>
      </c>
      <c r="BP40" s="2" t="str">
        <f ca="1"/>
        <v>--</v>
      </c>
      <c r="BQ40" s="2" t="str">
        <f ca="1"/>
        <v>--</v>
      </c>
      <c r="BR40" s="2" t="b">
        <f ca="1"/>
        <v>0</v>
      </c>
      <c r="BS40" s="2" t="b">
        <f ca="1"/>
        <v>0</v>
      </c>
      <c r="BT40" s="2" t="b">
        <f ca="1"/>
        <v>0</v>
      </c>
      <c r="BU40" s="2">
        <f ca="1"/>
        <v>46384</v>
      </c>
      <c r="BV40" s="2" t="str">
        <f ca="1"/>
        <v>+19 days</v>
      </c>
      <c r="BW40" s="2">
        <f ca="1"/>
        <v>19</v>
      </c>
      <c r="BX40" s="2">
        <f ca="1"/>
        <v>30</v>
      </c>
      <c r="BY40" s="2" t="str">
        <f ca="1"/>
        <v>--</v>
      </c>
    </row>
    <row r="41" spans="3:77" ht="27" customHeight="1" x14ac:dyDescent="0.2">
      <c r="C41" s="140">
        <v>0</v>
      </c>
      <c r="D41" s="142">
        <v>0</v>
      </c>
      <c r="E41" s="142">
        <v>0</v>
      </c>
      <c r="F41" s="143">
        <v>0</v>
      </c>
      <c r="G41" s="144">
        <v>0</v>
      </c>
      <c r="H41" s="145">
        <v>0</v>
      </c>
      <c r="I41" s="146">
        <v>0</v>
      </c>
      <c r="J41" s="137">
        <v>0</v>
      </c>
      <c r="K41" s="154">
        <v>0</v>
      </c>
      <c r="L41" s="132">
        <v>0</v>
      </c>
      <c r="M41" s="132">
        <v>0</v>
      </c>
      <c r="N41" s="132">
        <v>0</v>
      </c>
      <c r="O41" s="154">
        <v>0</v>
      </c>
      <c r="P41" s="147">
        <v>0</v>
      </c>
      <c r="Q41" s="138">
        <v>0</v>
      </c>
      <c r="R41" s="154">
        <v>0</v>
      </c>
      <c r="S41" s="147">
        <v>0</v>
      </c>
      <c r="T41" s="132">
        <v>0</v>
      </c>
      <c r="U41" s="138">
        <v>0</v>
      </c>
      <c r="V41" s="154">
        <v>0</v>
      </c>
      <c r="W41" s="147">
        <v>0</v>
      </c>
      <c r="X41" s="138">
        <v>0</v>
      </c>
      <c r="Y41" s="154">
        <v>0</v>
      </c>
      <c r="Z41" s="154">
        <v>0</v>
      </c>
      <c r="AA41" s="147">
        <v>0</v>
      </c>
      <c r="AB41" s="148">
        <v>0</v>
      </c>
      <c r="AC41" s="149">
        <v>0</v>
      </c>
      <c r="AD41" s="132">
        <v>0</v>
      </c>
      <c r="AE41" s="154">
        <v>0</v>
      </c>
      <c r="AF41" s="228">
        <v>0</v>
      </c>
      <c r="AG41" s="154">
        <v>0</v>
      </c>
      <c r="AH41" s="139">
        <v>0</v>
      </c>
      <c r="AI41" s="150">
        <v>0</v>
      </c>
      <c r="AJ41" s="138">
        <v>0</v>
      </c>
      <c r="AK41" s="151">
        <v>0</v>
      </c>
      <c r="AL41" s="152">
        <v>0</v>
      </c>
      <c r="AP41" s="2">
        <f ca="1"/>
        <v>9</v>
      </c>
      <c r="AQ41" s="2" t="str">
        <f ca="1"/>
        <v>PROJ</v>
      </c>
      <c r="AR41" s="2" t="str">
        <f ca="1"/>
        <v>Doors</v>
      </c>
      <c r="AS41" s="2">
        <f ca="1"/>
        <v>54</v>
      </c>
      <c r="AT41" s="2" t="str">
        <f ca="1"/>
        <v>Wk 54</v>
      </c>
      <c r="AU41" s="2">
        <f ca="1"/>
        <v>3</v>
      </c>
      <c r="AV41" s="2" t="str">
        <f ca="1"/>
        <v>3rd Floor Doors</v>
      </c>
      <c r="AW41" s="2">
        <f ca="1"/>
        <v>58</v>
      </c>
      <c r="AX41" s="2" t="b">
        <f ca="1"/>
        <v>0</v>
      </c>
      <c r="AY41" s="2" t="str">
        <f ca="1"/>
        <v>--</v>
      </c>
      <c r="AZ41" s="2" t="str">
        <f ca="1"/>
        <v>--</v>
      </c>
      <c r="BA41" s="2" t="str">
        <f ca="1"/>
        <v>(01/04/27-01/10/27)</v>
      </c>
      <c r="BB41" s="2" t="b">
        <f ca="1"/>
        <v>0</v>
      </c>
      <c r="BC41" s="2">
        <f ca="1"/>
        <v>46394</v>
      </c>
      <c r="BD41" s="2">
        <f ca="1"/>
        <v>5</v>
      </c>
      <c r="BE41" s="2" t="b">
        <f ca="1"/>
        <v>0</v>
      </c>
      <c r="BF41" s="2">
        <f ca="1"/>
        <v>46399</v>
      </c>
      <c r="BG41" s="2" t="str">
        <f ca="1"/>
        <v>--</v>
      </c>
      <c r="BH41" s="2">
        <f ca="1"/>
        <v>20</v>
      </c>
      <c r="BI41" s="2" t="b">
        <f ca="1"/>
        <v>0</v>
      </c>
      <c r="BJ41" s="2">
        <f ca="1"/>
        <v>46419</v>
      </c>
      <c r="BK41" s="2">
        <f ca="1"/>
        <v>5</v>
      </c>
      <c r="BL41" s="2" t="b">
        <f ca="1"/>
        <v>0</v>
      </c>
      <c r="BM41" s="2" t="b">
        <f ca="1"/>
        <v>0</v>
      </c>
      <c r="BN41" s="2">
        <f ca="1"/>
        <v>46424</v>
      </c>
      <c r="BO41" s="2" t="str">
        <f ca="1"/>
        <v>Sat</v>
      </c>
      <c r="BP41" s="2" t="str">
        <f ca="1"/>
        <v>--</v>
      </c>
      <c r="BQ41" s="2" t="str">
        <f ca="1"/>
        <v>--</v>
      </c>
      <c r="BR41" s="2" t="b">
        <f ca="1"/>
        <v>0</v>
      </c>
      <c r="BS41" s="2" t="b">
        <f ca="1"/>
        <v>0</v>
      </c>
      <c r="BT41" s="2" t="b">
        <f ca="1"/>
        <v>0</v>
      </c>
      <c r="BU41" s="2" t="str">
        <f ca="1"/>
        <v>unknown</v>
      </c>
      <c r="BV41" s="2" t="str">
        <f ca="1"/>
        <v/>
      </c>
      <c r="BW41" s="2" t="str">
        <f ca="1"/>
        <v/>
      </c>
      <c r="BX41" s="2">
        <f ca="1"/>
        <v>30</v>
      </c>
      <c r="BY41" s="2" t="str">
        <f ca="1"/>
        <v>--</v>
      </c>
    </row>
    <row r="42" spans="3:77" ht="27" customHeight="1" x14ac:dyDescent="0.2">
      <c r="C42" s="140">
        <v>0</v>
      </c>
      <c r="D42" s="142">
        <v>0</v>
      </c>
      <c r="E42" s="142">
        <v>0</v>
      </c>
      <c r="F42" s="143">
        <v>0</v>
      </c>
      <c r="G42" s="144">
        <v>0</v>
      </c>
      <c r="H42" s="145">
        <v>0</v>
      </c>
      <c r="I42" s="146">
        <v>0</v>
      </c>
      <c r="J42" s="137">
        <v>0</v>
      </c>
      <c r="K42" s="154">
        <v>0</v>
      </c>
      <c r="L42" s="132">
        <v>0</v>
      </c>
      <c r="M42" s="132">
        <v>0</v>
      </c>
      <c r="N42" s="132">
        <v>0</v>
      </c>
      <c r="O42" s="154">
        <v>0</v>
      </c>
      <c r="P42" s="147">
        <v>0</v>
      </c>
      <c r="Q42" s="138">
        <v>0</v>
      </c>
      <c r="R42" s="154">
        <v>0</v>
      </c>
      <c r="S42" s="147">
        <v>0</v>
      </c>
      <c r="T42" s="132">
        <v>0</v>
      </c>
      <c r="U42" s="138">
        <v>0</v>
      </c>
      <c r="V42" s="154">
        <v>0</v>
      </c>
      <c r="W42" s="147">
        <v>0</v>
      </c>
      <c r="X42" s="138">
        <v>0</v>
      </c>
      <c r="Y42" s="154">
        <v>0</v>
      </c>
      <c r="Z42" s="154">
        <v>0</v>
      </c>
      <c r="AA42" s="147">
        <v>0</v>
      </c>
      <c r="AB42" s="148">
        <v>0</v>
      </c>
      <c r="AC42" s="149">
        <v>0</v>
      </c>
      <c r="AD42" s="132">
        <v>0</v>
      </c>
      <c r="AE42" s="154">
        <v>0</v>
      </c>
      <c r="AF42" s="228">
        <v>0</v>
      </c>
      <c r="AG42" s="154">
        <v>0</v>
      </c>
      <c r="AH42" s="139">
        <v>0</v>
      </c>
      <c r="AI42" s="150">
        <v>0</v>
      </c>
      <c r="AJ42" s="138">
        <v>0</v>
      </c>
      <c r="AK42" s="151">
        <v>0</v>
      </c>
      <c r="AL42" s="152">
        <v>0</v>
      </c>
    </row>
    <row r="43" spans="3:77" ht="27" customHeight="1" x14ac:dyDescent="0.2">
      <c r="C43" s="140"/>
      <c r="D43" s="142"/>
      <c r="E43" s="142"/>
      <c r="F43" s="143"/>
      <c r="G43" s="144"/>
      <c r="H43" s="145"/>
      <c r="I43" s="146"/>
      <c r="J43" s="137"/>
      <c r="K43" s="154"/>
      <c r="L43" s="132"/>
      <c r="M43" s="132"/>
      <c r="N43" s="132"/>
      <c r="O43" s="154"/>
      <c r="P43" s="147"/>
      <c r="Q43" s="138"/>
      <c r="R43" s="154"/>
      <c r="S43" s="147"/>
      <c r="T43" s="132"/>
      <c r="U43" s="138"/>
      <c r="V43" s="154"/>
      <c r="W43" s="147"/>
      <c r="X43" s="138"/>
      <c r="Y43" s="154"/>
      <c r="Z43" s="154"/>
      <c r="AA43" s="147"/>
      <c r="AB43" s="148"/>
      <c r="AC43" s="149"/>
      <c r="AD43" s="132"/>
      <c r="AE43" s="154"/>
      <c r="AF43" s="228"/>
      <c r="AG43" s="154"/>
      <c r="AH43" s="139"/>
      <c r="AI43" s="150"/>
      <c r="AJ43" s="138"/>
      <c r="AK43" s="151"/>
      <c r="AL43" s="152"/>
    </row>
    <row r="44" spans="3:77" ht="27" customHeight="1" x14ac:dyDescent="0.2">
      <c r="C44" s="140"/>
      <c r="D44" s="142"/>
      <c r="E44" s="142"/>
      <c r="F44" s="143"/>
      <c r="G44" s="144"/>
      <c r="H44" s="145"/>
      <c r="I44" s="146"/>
      <c r="J44" s="137"/>
      <c r="K44" s="154"/>
      <c r="L44" s="132"/>
      <c r="M44" s="132"/>
      <c r="N44" s="132"/>
      <c r="O44" s="154"/>
      <c r="P44" s="147"/>
      <c r="Q44" s="138"/>
      <c r="R44" s="154"/>
      <c r="S44" s="147"/>
      <c r="T44" s="132"/>
      <c r="U44" s="138"/>
      <c r="V44" s="154"/>
      <c r="W44" s="147"/>
      <c r="X44" s="138"/>
      <c r="Y44" s="154"/>
      <c r="Z44" s="154"/>
      <c r="AA44" s="147"/>
      <c r="AB44" s="148"/>
      <c r="AC44" s="149"/>
      <c r="AD44" s="132"/>
      <c r="AE44" s="154"/>
      <c r="AF44" s="228"/>
      <c r="AG44" s="154"/>
      <c r="AH44" s="139"/>
      <c r="AI44" s="150"/>
      <c r="AJ44" s="138"/>
      <c r="AK44" s="151"/>
      <c r="AL44" s="152"/>
    </row>
    <row r="45" spans="3:77" ht="27" customHeight="1" x14ac:dyDescent="0.2">
      <c r="C45" s="140"/>
      <c r="D45" s="142"/>
      <c r="E45" s="142"/>
      <c r="F45" s="143"/>
      <c r="G45" s="144"/>
      <c r="H45" s="145"/>
      <c r="I45" s="146"/>
      <c r="J45" s="137"/>
      <c r="K45" s="154"/>
      <c r="L45" s="132"/>
      <c r="M45" s="132"/>
      <c r="N45" s="132"/>
      <c r="O45" s="154"/>
      <c r="P45" s="147"/>
      <c r="Q45" s="138"/>
      <c r="R45" s="154"/>
      <c r="S45" s="147"/>
      <c r="T45" s="132"/>
      <c r="U45" s="138"/>
      <c r="V45" s="154"/>
      <c r="W45" s="147"/>
      <c r="X45" s="138"/>
      <c r="Y45" s="154"/>
      <c r="Z45" s="154"/>
      <c r="AA45" s="147"/>
      <c r="AB45" s="148"/>
      <c r="AC45" s="149"/>
      <c r="AD45" s="132"/>
      <c r="AE45" s="154"/>
      <c r="AF45" s="228"/>
      <c r="AG45" s="154"/>
      <c r="AH45" s="139"/>
      <c r="AI45" s="150"/>
      <c r="AJ45" s="138"/>
      <c r="AK45" s="151"/>
    </row>
    <row r="46" spans="3:77" ht="27" customHeight="1" x14ac:dyDescent="0.2">
      <c r="C46" s="138"/>
      <c r="D46" s="138"/>
      <c r="E46" s="133"/>
      <c r="F46" s="133"/>
      <c r="G46" s="134"/>
      <c r="H46" s="135"/>
      <c r="I46" s="136"/>
      <c r="J46" s="137"/>
      <c r="K46" s="138"/>
      <c r="L46" s="138"/>
      <c r="M46" s="138"/>
      <c r="N46" s="132"/>
      <c r="O46" s="138"/>
      <c r="P46" s="6"/>
      <c r="Q46" s="138"/>
      <c r="R46" s="138"/>
      <c r="S46" s="6"/>
      <c r="T46" s="138"/>
      <c r="U46" s="138"/>
      <c r="V46" s="138"/>
      <c r="W46" s="6"/>
      <c r="X46" s="138"/>
      <c r="Y46" s="138"/>
      <c r="Z46" s="138"/>
      <c r="AA46" s="6"/>
      <c r="AB46" s="6"/>
      <c r="AC46" s="138"/>
      <c r="AD46" s="138"/>
      <c r="AE46" s="138"/>
      <c r="AF46" s="138"/>
      <c r="AG46" s="138"/>
      <c r="AH46" s="138"/>
      <c r="AI46" s="138"/>
      <c r="AJ46" s="138"/>
      <c r="AK46" s="151"/>
    </row>
    <row r="47" spans="3:77" ht="27" customHeight="1" x14ac:dyDescent="0.2">
      <c r="C47" s="138"/>
      <c r="D47" s="138"/>
      <c r="E47" s="133"/>
      <c r="F47" s="133"/>
      <c r="G47" s="134"/>
      <c r="H47" s="135"/>
      <c r="I47" s="136"/>
      <c r="J47" s="137"/>
      <c r="K47" s="138"/>
      <c r="L47" s="138"/>
      <c r="M47" s="138"/>
      <c r="N47" s="138"/>
      <c r="O47" s="138"/>
      <c r="P47" s="6"/>
      <c r="Q47" s="138"/>
      <c r="R47" s="138"/>
      <c r="S47" s="6"/>
      <c r="T47" s="138"/>
      <c r="U47" s="138"/>
      <c r="V47" s="138"/>
      <c r="W47" s="6"/>
      <c r="X47" s="138"/>
      <c r="Y47" s="138"/>
      <c r="Z47" s="138"/>
      <c r="AA47" s="6"/>
      <c r="AB47" s="6"/>
      <c r="AC47" s="138"/>
      <c r="AD47" s="138"/>
      <c r="AE47" s="138"/>
      <c r="AF47" s="138"/>
      <c r="AG47" s="138"/>
      <c r="AH47" s="138"/>
      <c r="AI47" s="138"/>
      <c r="AJ47" s="138"/>
      <c r="AK47" s="151"/>
    </row>
    <row r="48" spans="3:77" ht="27" customHeight="1" x14ac:dyDescent="0.2">
      <c r="C48" s="138"/>
      <c r="D48" s="138"/>
      <c r="E48" s="133"/>
      <c r="F48" s="133"/>
      <c r="G48" s="134"/>
      <c r="H48" s="135"/>
      <c r="I48" s="136"/>
      <c r="J48" s="137"/>
      <c r="K48" s="138"/>
      <c r="L48" s="138"/>
      <c r="M48" s="138"/>
      <c r="N48" s="138"/>
      <c r="O48" s="138"/>
      <c r="P48" s="6"/>
      <c r="Q48" s="138"/>
      <c r="R48" s="138"/>
      <c r="S48" s="6"/>
      <c r="T48" s="138"/>
      <c r="U48" s="138"/>
      <c r="V48" s="138"/>
      <c r="W48" s="6"/>
      <c r="X48" s="138"/>
      <c r="Y48" s="138"/>
      <c r="Z48" s="138"/>
      <c r="AA48" s="6"/>
      <c r="AB48" s="6"/>
      <c r="AC48" s="138"/>
      <c r="AD48" s="138"/>
      <c r="AE48" s="138"/>
      <c r="AF48" s="138"/>
      <c r="AG48" s="138"/>
      <c r="AH48" s="138"/>
      <c r="AI48" s="138"/>
      <c r="AJ48" s="138"/>
      <c r="AK48" s="151"/>
    </row>
    <row r="49" spans="3:37" ht="27" customHeight="1" x14ac:dyDescent="0.2">
      <c r="C49" s="138"/>
      <c r="D49" s="138"/>
      <c r="E49" s="133"/>
      <c r="F49" s="133"/>
      <c r="G49" s="134"/>
      <c r="H49" s="135"/>
      <c r="I49" s="136"/>
      <c r="J49" s="137"/>
      <c r="K49" s="138"/>
      <c r="L49" s="138"/>
      <c r="M49" s="138"/>
      <c r="N49" s="138"/>
      <c r="O49" s="138"/>
      <c r="P49" s="6"/>
      <c r="Q49" s="138"/>
      <c r="R49" s="138"/>
      <c r="S49" s="6"/>
      <c r="T49" s="138"/>
      <c r="U49" s="138"/>
      <c r="V49" s="138"/>
      <c r="W49" s="6"/>
      <c r="X49" s="138"/>
      <c r="Y49" s="138"/>
      <c r="Z49" s="138"/>
      <c r="AA49" s="6"/>
      <c r="AB49" s="6"/>
      <c r="AC49" s="138"/>
      <c r="AD49" s="138"/>
      <c r="AE49" s="138"/>
      <c r="AF49" s="138"/>
      <c r="AG49" s="138"/>
      <c r="AH49" s="138"/>
      <c r="AI49" s="138"/>
      <c r="AJ49" s="138"/>
      <c r="AK49" s="151"/>
    </row>
    <row r="50" spans="3:37" ht="27" customHeight="1" x14ac:dyDescent="0.2">
      <c r="C50" s="138"/>
      <c r="D50" s="138"/>
      <c r="E50" s="133"/>
      <c r="F50" s="133"/>
      <c r="G50" s="134"/>
      <c r="H50" s="135"/>
      <c r="I50" s="136"/>
      <c r="J50" s="137"/>
      <c r="K50" s="138"/>
      <c r="L50" s="138"/>
      <c r="M50" s="138"/>
      <c r="N50" s="138"/>
      <c r="O50" s="138"/>
      <c r="P50" s="6"/>
      <c r="Q50" s="138"/>
      <c r="R50" s="138"/>
      <c r="S50" s="6"/>
      <c r="T50" s="138"/>
      <c r="U50" s="138"/>
      <c r="V50" s="138"/>
      <c r="W50" s="6"/>
      <c r="X50" s="138"/>
      <c r="Y50" s="138"/>
      <c r="Z50" s="138"/>
      <c r="AA50" s="6"/>
      <c r="AB50" s="6"/>
      <c r="AC50" s="138"/>
      <c r="AD50" s="138"/>
      <c r="AE50" s="138"/>
      <c r="AF50" s="138"/>
      <c r="AG50" s="138"/>
      <c r="AH50" s="138"/>
      <c r="AI50" s="138"/>
      <c r="AJ50" s="138"/>
      <c r="AK50" s="151"/>
    </row>
    <row r="51" spans="3:37" ht="27" customHeight="1" x14ac:dyDescent="0.2">
      <c r="C51" s="138"/>
      <c r="D51" s="138"/>
      <c r="E51" s="133"/>
      <c r="F51" s="133"/>
      <c r="G51" s="134"/>
      <c r="H51" s="135"/>
      <c r="I51" s="136"/>
      <c r="J51" s="137"/>
      <c r="K51" s="138"/>
      <c r="L51" s="138"/>
      <c r="M51" s="138"/>
      <c r="N51" s="138"/>
      <c r="O51" s="138"/>
      <c r="P51" s="6"/>
      <c r="Q51" s="138"/>
      <c r="R51" s="138"/>
      <c r="S51" s="6"/>
      <c r="T51" s="138"/>
      <c r="U51" s="138"/>
      <c r="V51" s="138"/>
      <c r="W51" s="6"/>
      <c r="X51" s="138"/>
      <c r="Y51" s="138"/>
      <c r="Z51" s="138"/>
      <c r="AA51" s="6"/>
      <c r="AB51" s="6"/>
      <c r="AC51" s="138"/>
      <c r="AD51" s="138"/>
      <c r="AE51" s="138"/>
      <c r="AF51" s="138"/>
      <c r="AG51" s="138"/>
      <c r="AH51" s="138"/>
      <c r="AI51" s="138"/>
      <c r="AJ51" s="138"/>
      <c r="AK51" s="151"/>
    </row>
    <row r="52" spans="3:37" ht="27" customHeight="1" x14ac:dyDescent="0.2">
      <c r="C52" s="138"/>
      <c r="D52" s="138"/>
      <c r="E52" s="133"/>
      <c r="F52" s="133"/>
      <c r="G52" s="134"/>
      <c r="H52" s="135"/>
      <c r="I52" s="136"/>
      <c r="J52" s="137"/>
      <c r="K52" s="138"/>
      <c r="L52" s="138"/>
      <c r="M52" s="138"/>
      <c r="N52" s="138"/>
      <c r="O52" s="138"/>
      <c r="P52" s="6"/>
      <c r="Q52" s="138"/>
      <c r="R52" s="138"/>
      <c r="S52" s="6"/>
      <c r="T52" s="138"/>
      <c r="U52" s="138"/>
      <c r="V52" s="138"/>
      <c r="W52" s="6"/>
      <c r="X52" s="138"/>
      <c r="Y52" s="138"/>
      <c r="Z52" s="138"/>
      <c r="AA52" s="6"/>
      <c r="AB52" s="6"/>
      <c r="AC52" s="138"/>
      <c r="AD52" s="138"/>
      <c r="AE52" s="138"/>
      <c r="AF52" s="138"/>
      <c r="AG52" s="138"/>
      <c r="AH52" s="138"/>
      <c r="AI52" s="138"/>
      <c r="AJ52" s="138"/>
      <c r="AK52" s="151"/>
    </row>
    <row r="53" spans="3:37" ht="27" customHeight="1" x14ac:dyDescent="0.2">
      <c r="C53" s="138"/>
      <c r="D53" s="138"/>
      <c r="E53" s="133"/>
      <c r="F53" s="133"/>
      <c r="G53" s="134"/>
      <c r="H53" s="135"/>
      <c r="I53" s="136"/>
      <c r="J53" s="137"/>
      <c r="K53" s="138"/>
      <c r="L53" s="138"/>
      <c r="M53" s="138"/>
      <c r="N53" s="138"/>
      <c r="O53" s="138"/>
      <c r="P53" s="6"/>
      <c r="Q53" s="138"/>
      <c r="R53" s="138"/>
      <c r="S53" s="6"/>
      <c r="T53" s="138"/>
      <c r="U53" s="138"/>
      <c r="V53" s="138"/>
      <c r="W53" s="6"/>
      <c r="X53" s="138"/>
      <c r="Y53" s="138"/>
      <c r="Z53" s="138"/>
      <c r="AA53" s="6"/>
      <c r="AB53" s="6"/>
      <c r="AC53" s="138"/>
      <c r="AD53" s="138"/>
      <c r="AE53" s="138"/>
      <c r="AF53" s="138"/>
      <c r="AG53" s="138"/>
      <c r="AH53" s="138"/>
      <c r="AI53" s="138"/>
      <c r="AJ53" s="138"/>
      <c r="AK53" s="151"/>
    </row>
    <row r="54" spans="3:37" ht="27" customHeight="1" x14ac:dyDescent="0.2">
      <c r="C54" s="138"/>
      <c r="D54" s="138"/>
      <c r="E54" s="133"/>
      <c r="F54" s="133"/>
      <c r="G54" s="134"/>
      <c r="H54" s="135"/>
      <c r="I54" s="136"/>
      <c r="J54" s="137"/>
      <c r="K54" s="138"/>
      <c r="L54" s="138"/>
      <c r="M54" s="138"/>
      <c r="N54" s="132"/>
      <c r="O54" s="132"/>
      <c r="P54" s="6"/>
      <c r="Q54" s="138"/>
      <c r="R54" s="138"/>
      <c r="S54" s="6"/>
      <c r="T54" s="138"/>
      <c r="U54" s="138"/>
      <c r="V54" s="138"/>
      <c r="W54" s="6"/>
      <c r="X54" s="138"/>
      <c r="Y54" s="138"/>
      <c r="Z54" s="138"/>
      <c r="AA54" s="6"/>
      <c r="AB54" s="6"/>
      <c r="AC54" s="138"/>
      <c r="AD54" s="138"/>
      <c r="AE54" s="138"/>
      <c r="AF54" s="138"/>
      <c r="AG54" s="138"/>
      <c r="AH54" s="138"/>
      <c r="AI54" s="138"/>
      <c r="AJ54" s="138"/>
      <c r="AK54" s="151"/>
    </row>
    <row r="55" spans="3:37" ht="27" customHeight="1" x14ac:dyDescent="0.2">
      <c r="C55" s="138"/>
      <c r="D55" s="138"/>
      <c r="E55" s="133"/>
      <c r="F55" s="133"/>
      <c r="G55" s="134"/>
      <c r="H55" s="135"/>
      <c r="I55" s="136"/>
      <c r="J55" s="137"/>
      <c r="K55" s="138"/>
      <c r="L55" s="138"/>
      <c r="M55" s="138"/>
      <c r="N55" s="132"/>
      <c r="O55" s="132"/>
      <c r="P55" s="6"/>
      <c r="Q55" s="138"/>
      <c r="R55" s="138"/>
      <c r="S55" s="6"/>
      <c r="T55" s="138"/>
      <c r="U55" s="138"/>
      <c r="V55" s="138"/>
      <c r="W55" s="6"/>
      <c r="X55" s="138"/>
      <c r="Y55" s="138"/>
      <c r="Z55" s="138"/>
      <c r="AA55" s="6"/>
      <c r="AB55" s="6"/>
      <c r="AC55" s="138"/>
      <c r="AD55" s="138"/>
      <c r="AE55" s="138"/>
      <c r="AF55" s="138"/>
      <c r="AG55" s="138"/>
      <c r="AH55" s="138"/>
      <c r="AI55" s="138"/>
      <c r="AJ55" s="138"/>
      <c r="AK55" s="151"/>
    </row>
    <row r="56" spans="3:37" ht="27" customHeight="1" x14ac:dyDescent="0.2">
      <c r="C56" s="138"/>
      <c r="D56" s="138"/>
      <c r="E56" s="133"/>
      <c r="F56" s="133"/>
      <c r="G56" s="134"/>
      <c r="H56" s="135"/>
      <c r="I56" s="136"/>
      <c r="J56" s="137"/>
      <c r="K56" s="138"/>
      <c r="L56" s="138"/>
      <c r="M56" s="138"/>
      <c r="N56" s="138"/>
      <c r="O56" s="138"/>
      <c r="P56" s="6"/>
      <c r="Q56" s="138"/>
      <c r="R56" s="138"/>
      <c r="S56" s="6"/>
      <c r="T56" s="138"/>
      <c r="U56" s="138"/>
      <c r="V56" s="138"/>
      <c r="W56" s="6"/>
      <c r="X56" s="138"/>
      <c r="Y56" s="138"/>
      <c r="Z56" s="138"/>
      <c r="AA56" s="6"/>
      <c r="AB56" s="6"/>
      <c r="AC56" s="138"/>
      <c r="AD56" s="138"/>
      <c r="AE56" s="138"/>
      <c r="AF56" s="138"/>
      <c r="AG56" s="138"/>
      <c r="AH56" s="138"/>
      <c r="AI56" s="138"/>
      <c r="AJ56" s="138"/>
      <c r="AK56" s="151"/>
    </row>
    <row r="57" spans="3:37" ht="27" customHeight="1" x14ac:dyDescent="0.2">
      <c r="C57" s="138"/>
      <c r="D57" s="138"/>
      <c r="E57" s="133"/>
      <c r="F57" s="133"/>
      <c r="G57" s="134"/>
      <c r="H57" s="135"/>
      <c r="I57" s="136"/>
      <c r="J57" s="137"/>
      <c r="K57" s="138"/>
      <c r="L57" s="138"/>
      <c r="M57" s="138"/>
      <c r="N57" s="138"/>
      <c r="O57" s="138"/>
      <c r="P57" s="6"/>
      <c r="Q57" s="138"/>
      <c r="R57" s="138"/>
      <c r="S57" s="6"/>
      <c r="T57" s="138"/>
      <c r="U57" s="138"/>
      <c r="V57" s="138"/>
      <c r="W57" s="6"/>
      <c r="X57" s="138"/>
      <c r="Y57" s="138"/>
      <c r="Z57" s="138"/>
      <c r="AA57" s="6"/>
      <c r="AB57" s="6"/>
      <c r="AC57" s="138"/>
      <c r="AD57" s="138"/>
      <c r="AE57" s="138"/>
      <c r="AF57" s="138"/>
      <c r="AG57" s="138"/>
      <c r="AH57" s="138"/>
      <c r="AI57" s="138"/>
      <c r="AJ57" s="138"/>
      <c r="AK57" s="151"/>
    </row>
    <row r="58" spans="3:37" ht="27" customHeight="1" x14ac:dyDescent="0.2">
      <c r="C58" s="138"/>
      <c r="D58" s="138"/>
      <c r="E58" s="133"/>
      <c r="F58" s="133"/>
      <c r="G58" s="134"/>
      <c r="H58" s="135"/>
      <c r="I58" s="136"/>
      <c r="J58" s="137"/>
      <c r="K58" s="138"/>
      <c r="L58" s="138"/>
      <c r="M58" s="138"/>
      <c r="N58" s="138"/>
      <c r="O58" s="138"/>
      <c r="P58" s="6"/>
      <c r="Q58" s="138"/>
      <c r="R58" s="138"/>
      <c r="S58" s="6"/>
      <c r="T58" s="138"/>
      <c r="U58" s="138"/>
      <c r="V58" s="138"/>
      <c r="W58" s="6"/>
      <c r="X58" s="138"/>
      <c r="Y58" s="138"/>
      <c r="Z58" s="138"/>
      <c r="AA58" s="6"/>
      <c r="AB58" s="6"/>
      <c r="AC58" s="138"/>
      <c r="AD58" s="138"/>
      <c r="AE58" s="138"/>
      <c r="AF58" s="138"/>
      <c r="AG58" s="138"/>
      <c r="AH58" s="138"/>
      <c r="AI58" s="138"/>
      <c r="AJ58" s="138"/>
      <c r="AK58" s="151"/>
    </row>
    <row r="59" spans="3:37" ht="27" customHeight="1" x14ac:dyDescent="0.2">
      <c r="C59" s="138"/>
      <c r="D59" s="138"/>
      <c r="E59" s="133"/>
      <c r="F59" s="133"/>
      <c r="G59" s="134"/>
      <c r="H59" s="135"/>
      <c r="I59" s="136"/>
      <c r="J59" s="137"/>
      <c r="K59" s="138"/>
      <c r="L59" s="138"/>
      <c r="M59" s="138"/>
      <c r="N59" s="138"/>
      <c r="O59" s="138"/>
      <c r="P59" s="6"/>
      <c r="Q59" s="138"/>
      <c r="R59" s="138"/>
      <c r="S59" s="6"/>
      <c r="T59" s="138"/>
      <c r="U59" s="138"/>
      <c r="V59" s="138"/>
      <c r="W59" s="6"/>
      <c r="X59" s="138"/>
      <c r="Y59" s="138"/>
      <c r="Z59" s="138"/>
      <c r="AA59" s="6"/>
      <c r="AB59" s="6"/>
      <c r="AC59" s="138"/>
      <c r="AD59" s="138"/>
      <c r="AE59" s="138"/>
      <c r="AF59" s="138"/>
      <c r="AG59" s="138"/>
      <c r="AH59" s="138"/>
      <c r="AI59" s="138"/>
      <c r="AJ59" s="138"/>
      <c r="AK59" s="151"/>
    </row>
    <row r="60" spans="3:37" ht="27" customHeight="1" x14ac:dyDescent="0.2">
      <c r="C60" s="138"/>
      <c r="D60" s="138"/>
      <c r="E60" s="133"/>
      <c r="F60" s="133"/>
      <c r="G60" s="134"/>
      <c r="H60" s="135"/>
      <c r="I60" s="136"/>
      <c r="J60" s="137"/>
      <c r="K60" s="138"/>
      <c r="L60" s="138"/>
      <c r="M60" s="138"/>
      <c r="N60" s="138"/>
      <c r="O60" s="138"/>
      <c r="P60" s="6"/>
      <c r="Q60" s="138"/>
      <c r="R60" s="138"/>
      <c r="S60" s="6"/>
      <c r="T60" s="138"/>
      <c r="U60" s="138"/>
      <c r="V60" s="138"/>
      <c r="W60" s="6"/>
      <c r="X60" s="138"/>
      <c r="Y60" s="138"/>
      <c r="Z60" s="138"/>
      <c r="AA60" s="6"/>
      <c r="AB60" s="6"/>
      <c r="AC60" s="138"/>
      <c r="AD60" s="138"/>
      <c r="AE60" s="138"/>
      <c r="AF60" s="138"/>
      <c r="AG60" s="138"/>
      <c r="AH60" s="138"/>
      <c r="AI60" s="138"/>
      <c r="AJ60" s="138"/>
      <c r="AK60" s="151"/>
    </row>
    <row r="61" spans="3:37" ht="27" customHeight="1" x14ac:dyDescent="0.2">
      <c r="C61" s="138"/>
      <c r="D61" s="138"/>
      <c r="E61" s="133"/>
      <c r="F61" s="133"/>
      <c r="G61" s="134"/>
      <c r="H61" s="135"/>
      <c r="I61" s="136"/>
      <c r="J61" s="137"/>
      <c r="K61" s="138"/>
      <c r="L61" s="138"/>
      <c r="M61" s="138"/>
      <c r="N61" s="138"/>
      <c r="O61" s="138"/>
      <c r="P61" s="6"/>
      <c r="Q61" s="138"/>
      <c r="R61" s="138"/>
      <c r="S61" s="6"/>
      <c r="T61" s="138"/>
      <c r="U61" s="138"/>
      <c r="V61" s="138"/>
      <c r="W61" s="6"/>
      <c r="X61" s="138"/>
      <c r="Y61" s="138"/>
      <c r="Z61" s="138"/>
      <c r="AA61" s="6"/>
      <c r="AB61" s="6"/>
      <c r="AC61" s="138"/>
      <c r="AD61" s="138"/>
      <c r="AE61" s="138"/>
      <c r="AF61" s="138"/>
      <c r="AG61" s="138"/>
      <c r="AH61" s="138"/>
      <c r="AI61" s="138"/>
      <c r="AJ61" s="138"/>
      <c r="AK61" s="151"/>
    </row>
    <row r="62" spans="3:37" ht="27" customHeight="1" x14ac:dyDescent="0.2">
      <c r="C62" s="138"/>
      <c r="D62" s="138"/>
      <c r="E62" s="133"/>
      <c r="F62" s="133"/>
      <c r="G62" s="134"/>
      <c r="H62" s="135"/>
      <c r="I62" s="136"/>
      <c r="J62" s="137"/>
      <c r="K62" s="138"/>
      <c r="L62" s="138"/>
      <c r="M62" s="138"/>
      <c r="N62" s="138"/>
      <c r="O62" s="138"/>
      <c r="P62" s="6"/>
      <c r="Q62" s="138"/>
      <c r="R62" s="138"/>
      <c r="S62" s="6"/>
      <c r="T62" s="138"/>
      <c r="U62" s="138"/>
      <c r="V62" s="138"/>
      <c r="W62" s="6"/>
      <c r="X62" s="138"/>
      <c r="Y62" s="138"/>
      <c r="Z62" s="138"/>
      <c r="AA62" s="6"/>
      <c r="AB62" s="6"/>
      <c r="AC62" s="138"/>
      <c r="AD62" s="138"/>
      <c r="AE62" s="138"/>
      <c r="AF62" s="138"/>
      <c r="AG62" s="138"/>
      <c r="AH62" s="138"/>
      <c r="AI62" s="138"/>
      <c r="AJ62" s="138"/>
      <c r="AK62" s="151"/>
    </row>
    <row r="63" spans="3:37" ht="27" customHeight="1" x14ac:dyDescent="0.2">
      <c r="C63" s="138"/>
      <c r="D63" s="138"/>
      <c r="E63" s="133"/>
      <c r="F63" s="133"/>
      <c r="G63" s="134"/>
      <c r="H63" s="135"/>
      <c r="I63" s="136"/>
      <c r="J63" s="137"/>
      <c r="K63" s="138"/>
      <c r="L63" s="138"/>
      <c r="M63" s="138"/>
      <c r="N63" s="132"/>
      <c r="O63" s="132"/>
      <c r="P63" s="6"/>
      <c r="Q63" s="138"/>
      <c r="R63" s="138"/>
      <c r="S63" s="6"/>
      <c r="T63" s="138"/>
      <c r="U63" s="138"/>
      <c r="V63" s="138"/>
      <c r="W63" s="6"/>
      <c r="X63" s="138"/>
      <c r="Y63" s="138"/>
      <c r="Z63" s="138"/>
      <c r="AA63" s="6"/>
      <c r="AB63" s="6"/>
      <c r="AC63" s="138"/>
      <c r="AD63" s="138"/>
      <c r="AE63" s="138"/>
      <c r="AF63" s="138"/>
      <c r="AG63" s="138"/>
      <c r="AH63" s="138"/>
      <c r="AI63" s="138"/>
      <c r="AJ63" s="138"/>
      <c r="AK63" s="151"/>
    </row>
    <row r="64" spans="3:37" ht="27" customHeight="1" x14ac:dyDescent="0.2">
      <c r="C64" s="138"/>
      <c r="D64" s="138"/>
      <c r="E64" s="133"/>
      <c r="F64" s="133"/>
      <c r="G64" s="134"/>
      <c r="H64" s="135"/>
      <c r="I64" s="136"/>
      <c r="J64" s="137"/>
      <c r="K64" s="138"/>
      <c r="L64" s="138"/>
      <c r="M64" s="138"/>
      <c r="N64" s="132"/>
      <c r="O64" s="132"/>
      <c r="P64" s="6"/>
      <c r="Q64" s="138"/>
      <c r="R64" s="138"/>
      <c r="S64" s="6"/>
      <c r="T64" s="138"/>
      <c r="U64" s="138"/>
      <c r="V64" s="138"/>
      <c r="W64" s="6"/>
      <c r="X64" s="138"/>
      <c r="Y64" s="138"/>
      <c r="Z64" s="138"/>
      <c r="AA64" s="6"/>
      <c r="AB64" s="6"/>
      <c r="AC64" s="138"/>
      <c r="AD64" s="138"/>
      <c r="AE64" s="138"/>
      <c r="AF64" s="138"/>
      <c r="AG64" s="138"/>
      <c r="AH64" s="138"/>
      <c r="AI64" s="138"/>
      <c r="AJ64" s="138"/>
      <c r="AK64" s="151"/>
    </row>
    <row r="65" spans="3:37" ht="27" customHeight="1" x14ac:dyDescent="0.2">
      <c r="C65" s="138"/>
      <c r="D65" s="138"/>
      <c r="E65" s="133"/>
      <c r="F65" s="133"/>
      <c r="G65" s="134"/>
      <c r="H65" s="135"/>
      <c r="I65" s="136"/>
      <c r="J65" s="137"/>
      <c r="K65" s="138"/>
      <c r="L65" s="138"/>
      <c r="M65" s="138"/>
      <c r="N65" s="138"/>
      <c r="O65" s="138"/>
      <c r="P65" s="6"/>
      <c r="Q65" s="138"/>
      <c r="R65" s="138"/>
      <c r="S65" s="6"/>
      <c r="T65" s="138"/>
      <c r="U65" s="138"/>
      <c r="V65" s="138"/>
      <c r="W65" s="6"/>
      <c r="X65" s="138"/>
      <c r="Y65" s="138"/>
      <c r="Z65" s="138"/>
      <c r="AA65" s="6"/>
      <c r="AB65" s="6"/>
      <c r="AC65" s="138"/>
      <c r="AD65" s="138"/>
      <c r="AE65" s="138"/>
      <c r="AF65" s="138"/>
      <c r="AG65" s="138"/>
      <c r="AH65" s="138"/>
      <c r="AI65" s="138"/>
      <c r="AJ65" s="138"/>
      <c r="AK65" s="151"/>
    </row>
    <row r="66" spans="3:37" ht="27" customHeight="1" x14ac:dyDescent="0.2">
      <c r="C66" s="138"/>
      <c r="D66" s="138"/>
      <c r="E66" s="133"/>
      <c r="F66" s="133"/>
      <c r="G66" s="134"/>
      <c r="H66" s="135"/>
      <c r="I66" s="136"/>
      <c r="J66" s="137"/>
      <c r="K66" s="138"/>
      <c r="L66" s="138"/>
      <c r="M66" s="138"/>
      <c r="N66" s="132"/>
      <c r="O66" s="132"/>
      <c r="P66" s="6"/>
      <c r="Q66" s="138"/>
      <c r="R66" s="138"/>
      <c r="S66" s="6"/>
      <c r="T66" s="138"/>
      <c r="U66" s="138"/>
      <c r="V66" s="138"/>
      <c r="W66" s="6"/>
      <c r="X66" s="138"/>
      <c r="Y66" s="138"/>
      <c r="Z66" s="138"/>
      <c r="AA66" s="6"/>
      <c r="AB66" s="6"/>
      <c r="AC66" s="138"/>
      <c r="AD66" s="138"/>
      <c r="AE66" s="138"/>
      <c r="AF66" s="138"/>
      <c r="AG66" s="138"/>
      <c r="AH66" s="138"/>
      <c r="AI66" s="138"/>
      <c r="AJ66" s="138"/>
      <c r="AK66" s="151"/>
    </row>
    <row r="67" spans="3:37" ht="27" customHeight="1" x14ac:dyDescent="0.2">
      <c r="C67" s="138"/>
      <c r="D67" s="138"/>
      <c r="E67" s="133"/>
      <c r="F67" s="133"/>
      <c r="G67" s="134"/>
      <c r="H67" s="135"/>
      <c r="I67" s="136"/>
      <c r="J67" s="137"/>
      <c r="K67" s="138"/>
      <c r="L67" s="138"/>
      <c r="M67" s="138"/>
      <c r="N67" s="138"/>
      <c r="O67" s="138"/>
      <c r="P67" s="6"/>
      <c r="Q67" s="138"/>
      <c r="R67" s="138"/>
      <c r="S67" s="6"/>
      <c r="T67" s="138"/>
      <c r="U67" s="138"/>
      <c r="V67" s="138"/>
      <c r="W67" s="6"/>
      <c r="X67" s="138"/>
      <c r="Y67" s="138"/>
      <c r="Z67" s="138"/>
      <c r="AA67" s="6"/>
      <c r="AB67" s="6"/>
      <c r="AC67" s="138"/>
      <c r="AD67" s="138"/>
      <c r="AE67" s="138"/>
      <c r="AF67" s="138"/>
      <c r="AG67" s="138"/>
      <c r="AH67" s="138"/>
      <c r="AI67" s="138"/>
      <c r="AJ67" s="138"/>
      <c r="AK67" s="151"/>
    </row>
  </sheetData>
  <mergeCells count="3">
    <mergeCell ref="A3:A4"/>
    <mergeCell ref="O5:P5"/>
    <mergeCell ref="AA6:AB6"/>
  </mergeCells>
  <conditionalFormatting sqref="C8:C45">
    <cfRule type="expression" dxfId="51" priority="40">
      <formula>$D8="D"</formula>
    </cfRule>
  </conditionalFormatting>
  <conditionalFormatting sqref="D8:D40">
    <cfRule type="expression" dxfId="50" priority="41">
      <formula>$C8=0</formula>
    </cfRule>
    <cfRule type="expression" dxfId="49" priority="42">
      <formula>$D8= "PLD"</formula>
    </cfRule>
    <cfRule type="expression" dxfId="48" priority="43">
      <formula>$D8= "INPRT"</formula>
    </cfRule>
    <cfRule type="expression" dxfId="47" priority="44">
      <formula>$C8=6</formula>
    </cfRule>
    <cfRule type="expression" dxfId="46" priority="45">
      <formula>$C8=7</formula>
    </cfRule>
    <cfRule type="expression" dxfId="45" priority="46">
      <formula>$C8=8</formula>
    </cfRule>
    <cfRule type="expression" dxfId="44" priority="47">
      <formula>$C8=9</formula>
    </cfRule>
  </conditionalFormatting>
  <conditionalFormatting sqref="K8:K45">
    <cfRule type="expression" dxfId="43" priority="25">
      <formula>$D8= "D"</formula>
    </cfRule>
    <cfRule type="expression" dxfId="42" priority="26">
      <formula>$D8= "PROJ"</formula>
    </cfRule>
    <cfRule type="cellIs" dxfId="41" priority="27" operator="equal">
      <formula>TRUE</formula>
    </cfRule>
  </conditionalFormatting>
  <conditionalFormatting sqref="O8:O45">
    <cfRule type="expression" dxfId="40" priority="22">
      <formula>$D8= "D"</formula>
    </cfRule>
    <cfRule type="expression" dxfId="39" priority="23">
      <formula>$D8= "PROJ"</formula>
    </cfRule>
    <cfRule type="cellIs" dxfId="38" priority="24" operator="equal">
      <formula>TRUE</formula>
    </cfRule>
  </conditionalFormatting>
  <conditionalFormatting sqref="R8:R45">
    <cfRule type="expression" dxfId="37" priority="19">
      <formula>$D8= "D"</formula>
    </cfRule>
    <cfRule type="expression" dxfId="36" priority="20">
      <formula>$D8= "PROJ"</formula>
    </cfRule>
    <cfRule type="cellIs" dxfId="35" priority="21" operator="equal">
      <formula>TRUE</formula>
    </cfRule>
  </conditionalFormatting>
  <conditionalFormatting sqref="V8:V45">
    <cfRule type="expression" dxfId="34" priority="16">
      <formula>$D8= "D"</formula>
    </cfRule>
    <cfRule type="expression" dxfId="33" priority="17">
      <formula>$D8= "PROJ"</formula>
    </cfRule>
    <cfRule type="cellIs" dxfId="32" priority="18" operator="equal">
      <formula>TRUE</formula>
    </cfRule>
  </conditionalFormatting>
  <conditionalFormatting sqref="Y8:Z45">
    <cfRule type="expression" dxfId="31" priority="10">
      <formula>$D8= "D"</formula>
    </cfRule>
    <cfRule type="expression" dxfId="30" priority="11">
      <formula>$D8= "PROJ"</formula>
    </cfRule>
    <cfRule type="cellIs" dxfId="29" priority="12" operator="equal">
      <formula>TRUE</formula>
    </cfRule>
  </conditionalFormatting>
  <conditionalFormatting sqref="AE8:AG45">
    <cfRule type="expression" dxfId="28" priority="1">
      <formula>$D8= "D"</formula>
    </cfRule>
    <cfRule type="expression" dxfId="27" priority="2">
      <formula>$D8= "PROJ"</formula>
    </cfRule>
    <cfRule type="cellIs" dxfId="26" priority="3" operator="equal">
      <formula>TRUE</formula>
    </cfRule>
  </conditionalFormatting>
  <conditionalFormatting sqref="AI8:AI45">
    <cfRule type="containsText" priority="52" operator="containsText" text="Text">
      <formula>NOT(ISERROR(SEARCH("Text",AI8)))</formula>
    </cfRule>
  </conditionalFormatting>
  <conditionalFormatting sqref="AI8:AI63">
    <cfRule type="cellIs" dxfId="25" priority="51" operator="lessThan">
      <formula>0</formula>
    </cfRule>
  </conditionalFormatting>
  <pageMargins left="0.7" right="0.7" top="0.75" bottom="0.75" header="0.3" footer="0.3"/>
  <pageSetup paperSize="17" scale="3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376DD-B486-4BAF-ADD0-D65427F2C77B}">
  <sheetPr>
    <tabColor theme="4" tint="-0.499984740745262"/>
    <pageSetUpPr fitToPage="1"/>
  </sheetPr>
  <dimension ref="B1:Q59"/>
  <sheetViews>
    <sheetView showGridLines="0" topLeftCell="A16" zoomScale="85" zoomScaleNormal="85" zoomScaleSheetLayoutView="98" workbookViewId="0">
      <selection activeCell="M52" sqref="M52"/>
    </sheetView>
  </sheetViews>
  <sheetFormatPr defaultRowHeight="14.25" x14ac:dyDescent="0.2"/>
  <cols>
    <col min="1" max="1" width="3.77734375" customWidth="1"/>
    <col min="2" max="2" width="17" customWidth="1"/>
    <col min="3" max="3" width="7.109375" customWidth="1"/>
    <col min="4" max="4" width="12.109375" customWidth="1"/>
    <col min="5" max="5" width="7.6640625" customWidth="1"/>
    <col min="6" max="6" width="8" customWidth="1"/>
    <col min="7" max="7" width="10.109375" customWidth="1"/>
    <col min="8" max="8" width="9.77734375" customWidth="1"/>
    <col min="9" max="9" width="9.44140625" customWidth="1"/>
    <col min="10" max="10" width="6.21875" customWidth="1"/>
    <col min="11" max="11" width="7.44140625" customWidth="1"/>
    <col min="12" max="12" width="5.77734375" customWidth="1"/>
    <col min="13" max="13" width="11.109375" customWidth="1"/>
    <col min="14" max="14" width="13.33203125" customWidth="1"/>
    <col min="15" max="15" width="16.21875" customWidth="1"/>
    <col min="16" max="16" width="4" customWidth="1"/>
  </cols>
  <sheetData>
    <row r="1" spans="2:15" ht="12" customHeight="1" x14ac:dyDescent="0.2"/>
    <row r="2" spans="2:15" ht="32.25" x14ac:dyDescent="0.4">
      <c r="B2" s="360" t="e" vm="1">
        <v>#VALUE!</v>
      </c>
      <c r="C2" s="155" t="s">
        <v>98</v>
      </c>
      <c r="N2" s="346">
        <f ca="1">TODAY()</f>
        <v>46217</v>
      </c>
      <c r="O2" s="346"/>
    </row>
    <row r="3" spans="2:15" ht="18" customHeight="1" x14ac:dyDescent="0.2">
      <c r="B3" s="360"/>
      <c r="C3" s="156" t="s">
        <v>81</v>
      </c>
      <c r="O3" s="157" t="str">
        <f ca="1" xml:space="preserve"> "WEEK " &amp;WEEKNUM(TODAY())</f>
        <v>WEEK 29</v>
      </c>
    </row>
    <row r="4" spans="2:15" ht="16.5" customHeight="1" x14ac:dyDescent="0.2"/>
    <row r="6" spans="2:15" ht="15" x14ac:dyDescent="0.2">
      <c r="B6" s="260" t="s">
        <v>59</v>
      </c>
      <c r="D6" s="262" t="s">
        <v>60</v>
      </c>
      <c r="H6" s="260" t="s">
        <v>97</v>
      </c>
      <c r="I6" s="261"/>
      <c r="J6" s="259"/>
      <c r="L6" s="260" t="s">
        <v>95</v>
      </c>
      <c r="M6" s="259"/>
      <c r="N6" s="259"/>
      <c r="O6" s="259"/>
    </row>
    <row r="7" spans="2:15" ht="25.5" x14ac:dyDescent="0.35">
      <c r="B7" s="161">
        <f>COUNTIF('111 Wall_CTNR Schedule'!E8:E45,"&lt;&gt;")</f>
        <v>35</v>
      </c>
      <c r="D7" s="161">
        <f>SUMIF('111 Wall_CTNR Schedule'!D8:D45,"D", '111 Wall_CTNR Schedule'!J8:J45)</f>
        <v>0</v>
      </c>
      <c r="H7" s="159" t="s">
        <v>64</v>
      </c>
      <c r="I7" s="162" cm="1">
        <f t="array" ref="I7">SUMPRODUCT(--('111 Wall_CTNR Schedule'!D$8:D$45="PROJ"))</f>
        <v>33</v>
      </c>
      <c r="J7" s="163">
        <f t="shared" ref="J7:J12" si="0">SUM(I7)/SUM($I$7:$I$12)</f>
        <v>1</v>
      </c>
      <c r="L7" s="164" t="s">
        <v>96</v>
      </c>
      <c r="M7" s="164"/>
    </row>
    <row r="8" spans="2:15" x14ac:dyDescent="0.2">
      <c r="B8" s="165" t="s">
        <v>86</v>
      </c>
      <c r="D8" s="165" t="str">
        <f>"Of "&amp;SUM('111 Wall_CTNR Schedule'!J8:J45) &amp; " Units"</f>
        <v>Of 622 Units</v>
      </c>
      <c r="H8" s="159" t="s">
        <v>65</v>
      </c>
      <c r="I8" s="162" cm="1">
        <f t="array" ref="I8">SUMPRODUCT(--('111 Wall_CTNR Schedule'!D$8:D$45="LDG"))</f>
        <v>0</v>
      </c>
      <c r="J8" s="163">
        <f t="shared" si="0"/>
        <v>0</v>
      </c>
      <c r="L8" s="203"/>
      <c r="M8" s="166"/>
      <c r="O8" s="166"/>
    </row>
    <row r="9" spans="2:15" x14ac:dyDescent="0.2">
      <c r="H9" s="159" t="s">
        <v>36</v>
      </c>
      <c r="I9" s="162" cm="1">
        <f t="array" ref="I9">SUMPRODUCT(--('111 Wall_CTNR Schedule'!D$8:D$45="LDD"))</f>
        <v>0</v>
      </c>
      <c r="J9" s="163">
        <f t="shared" si="0"/>
        <v>0</v>
      </c>
      <c r="L9" s="203"/>
      <c r="M9" s="166"/>
      <c r="O9" s="166"/>
    </row>
    <row r="10" spans="2:15" ht="14.25" customHeight="1" x14ac:dyDescent="0.2">
      <c r="H10" s="159" t="s">
        <v>66</v>
      </c>
      <c r="I10" s="162" cm="1">
        <f t="array" ref="I10">SUMPRODUCT(--('111 Wall_CTNR Schedule'!D$8:D$45="ENR"))</f>
        <v>0</v>
      </c>
      <c r="J10" s="163">
        <f t="shared" si="0"/>
        <v>0</v>
      </c>
      <c r="L10" s="203"/>
      <c r="M10" s="166"/>
      <c r="O10" s="166"/>
    </row>
    <row r="11" spans="2:15" ht="15" x14ac:dyDescent="0.2">
      <c r="B11" s="260" t="s">
        <v>67</v>
      </c>
      <c r="C11" s="259"/>
      <c r="D11" s="259"/>
      <c r="H11" s="159" t="s">
        <v>84</v>
      </c>
      <c r="I11" s="162" cm="1">
        <f t="array" ref="I11">SUMPRODUCT(--('111 Wall_CTNR Schedule'!D$8:D$45="INPRT"))</f>
        <v>0</v>
      </c>
      <c r="J11" s="163">
        <f t="shared" si="0"/>
        <v>0</v>
      </c>
      <c r="L11" s="203"/>
      <c r="M11" s="166"/>
      <c r="O11" s="166"/>
    </row>
    <row r="12" spans="2:15" x14ac:dyDescent="0.2">
      <c r="B12" t="s">
        <v>68</v>
      </c>
      <c r="D12" s="327">
        <f>AVERAGE('111 Wall_CTNR Schedule'!Q8:Q45)</f>
        <v>4.7142857142857144</v>
      </c>
      <c r="H12" s="159" t="s">
        <v>47</v>
      </c>
      <c r="I12" s="162" cm="1">
        <f t="array" ref="I12">SUMPRODUCT(--('111 Wall_CTNR Schedule'!D$8:D$45="D"))</f>
        <v>0</v>
      </c>
      <c r="J12" s="163">
        <f t="shared" si="0"/>
        <v>0</v>
      </c>
      <c r="L12" s="203"/>
      <c r="M12" s="166"/>
      <c r="O12" s="166"/>
    </row>
    <row r="13" spans="2:15" x14ac:dyDescent="0.2">
      <c r="B13" t="s">
        <v>83</v>
      </c>
      <c r="D13" s="253">
        <f>AVERAGE('111 Wall_CTNR Schedule'!U8:U45)</f>
        <v>18.857142857142858</v>
      </c>
      <c r="L13" s="203"/>
      <c r="M13" s="166"/>
      <c r="O13" s="166"/>
    </row>
    <row r="14" spans="2:15" x14ac:dyDescent="0.2">
      <c r="B14" t="s">
        <v>69</v>
      </c>
      <c r="D14" s="253">
        <f>AVERAGE('111 Wall_CTNR Schedule'!X8:X45)</f>
        <v>4.7142857142857144</v>
      </c>
      <c r="L14" s="203"/>
      <c r="M14" s="166"/>
      <c r="O14" s="166"/>
    </row>
    <row r="15" spans="2:15" x14ac:dyDescent="0.2">
      <c r="B15" t="s">
        <v>70</v>
      </c>
      <c r="D15" s="254">
        <f>SUM(D12:D14)</f>
        <v>28.285714285714288</v>
      </c>
      <c r="L15" s="204"/>
      <c r="M15" s="167"/>
      <c r="O15" s="167"/>
    </row>
    <row r="16" spans="2:15" x14ac:dyDescent="0.2">
      <c r="D16" s="168"/>
      <c r="L16" s="204"/>
      <c r="M16" s="167"/>
      <c r="O16" s="167"/>
    </row>
    <row r="18" spans="2:17" ht="5.25" hidden="1" customHeight="1" x14ac:dyDescent="0.2"/>
    <row r="19" spans="2:17" ht="18.75" customHeight="1" thickBot="1" x14ac:dyDescent="0.25">
      <c r="B19" s="263" t="s">
        <v>71</v>
      </c>
      <c r="C19" s="158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97"/>
      <c r="Q19" s="197"/>
    </row>
    <row r="20" spans="2:17" ht="18.75" customHeight="1" thickTop="1" x14ac:dyDescent="0.2">
      <c r="B20" s="169" t="s">
        <v>72</v>
      </c>
      <c r="C20" s="170" t="s">
        <v>73</v>
      </c>
      <c r="D20" s="170" t="s">
        <v>74</v>
      </c>
      <c r="E20" s="170" t="s">
        <v>75</v>
      </c>
      <c r="F20" s="171" t="s">
        <v>76</v>
      </c>
      <c r="G20" s="172" t="s">
        <v>85</v>
      </c>
      <c r="H20" s="173" t="s">
        <v>77</v>
      </c>
      <c r="I20" s="174" t="s">
        <v>78</v>
      </c>
      <c r="J20" s="175" t="s">
        <v>79</v>
      </c>
      <c r="K20" s="171" t="s">
        <v>80</v>
      </c>
      <c r="L20" s="176"/>
      <c r="M20" s="175" t="s">
        <v>94</v>
      </c>
      <c r="N20" s="175"/>
      <c r="O20" s="175"/>
      <c r="P20" s="175"/>
    </row>
    <row r="21" spans="2:17" ht="12.75" customHeight="1" thickBot="1" x14ac:dyDescent="0.25">
      <c r="B21" s="291" t="s">
        <v>99</v>
      </c>
      <c r="C21" s="170"/>
      <c r="D21" s="170"/>
      <c r="E21" s="170"/>
      <c r="F21" s="171"/>
      <c r="G21" s="172"/>
      <c r="H21" s="173"/>
      <c r="I21" s="177"/>
      <c r="J21" s="175"/>
      <c r="K21" s="171"/>
      <c r="L21" s="176"/>
      <c r="M21" s="175"/>
      <c r="N21" s="176"/>
      <c r="O21" s="175"/>
      <c r="P21" s="175"/>
    </row>
    <row r="22" spans="2:17" ht="20.100000000000001" customHeight="1" x14ac:dyDescent="0.2">
      <c r="B22" s="264" t="str" cm="1">
        <f t="array" ref="B22:B54">IF('111 Wall_CTNR Schedule'!E8:E40=0," ","CTN " &amp; '111 Wall_CTNR Schedule'!E8:E40)</f>
        <v>CTN 1</v>
      </c>
      <c r="C22" s="265" t="str" cm="1">
        <f t="array" ref="C22:C54">IF('111 Wall_CTNR Schedule'!D8:D40=0," ",'111 Wall_CTNR Schedule'!D8:D40)</f>
        <v>PROJ</v>
      </c>
      <c r="D22" s="266" t="str" cm="1">
        <f t="array" ref="D22:D54">IF('111 Wall_CTNR Schedule'!L8:L40=0," ",'111 Wall_CTNR Schedule'!L8:L40)</f>
        <v>--</v>
      </c>
      <c r="E22" s="267" t="str" cm="1">
        <f t="array" ref="E22:E59">IF('111 Wall_CTNR Schedule'!F8:F45=0," ","Wk " &amp;'111 Wall_CTNR Schedule'!F8:F45)</f>
        <v>Wk 32</v>
      </c>
      <c r="F22" s="268" t="str" cm="1">
        <f t="array" ref="F22:F59">IF('111 Wall_CTNR Schedule'!P8:P45=0," ",TEXT('111 Wall_CTNR Schedule'!P8:P45, "mmm-dd"))</f>
        <v>Aug-06</v>
      </c>
      <c r="G22" s="268" t="str" cm="1">
        <f t="array" ref="G22:G59">IF('111 Wall_CTNR Schedule'!W8:W45=0," ",TEXT('111 Wall_CTNR Schedule'!W8:W45,"mmm-dd"))</f>
        <v>Aug-31</v>
      </c>
      <c r="H22" s="269" t="str" cm="1">
        <f t="array" ref="H22:H59">IF('111 Wall_CTNR Schedule'!AA8:AA45=0," ",TEXT('111 Wall_CTNR Schedule'!AA8:AA45,"ddd mmm dd"))</f>
        <v>Sat Sep 05</v>
      </c>
      <c r="I22" s="270" t="str" cm="1">
        <f t="array" ref="I22:I59">IF('111 Wall_CTNR Schedule'!E8:E45=0," ",IF('111 Wall_CTNR Schedule'!AF8:AF45=TRUE,"Confirmed","ETA"))</f>
        <v>ETA</v>
      </c>
      <c r="J22" s="271" t="str" cm="1">
        <f t="array" ref="J22:J59">IF('111 Wall_CTNR Schedule'!H8:H45=0," ","FL " &amp; '111 Wall_CTNR Schedule'!H8:H45)</f>
        <v>FL 3</v>
      </c>
      <c r="K22" s="272" t="str" cm="1">
        <f t="array" ref="K22:K59">IF('111 Wall_CTNR Schedule'!J8:J45=0," ",'111 Wall_CTNR Schedule'!J8:J45&amp; "x")</f>
        <v>20x</v>
      </c>
      <c r="L22" s="273"/>
      <c r="M22" s="274" t="str" cm="1">
        <f t="array" ref="M22:M59">IF('111 Wall_CTNR Schedule'!I8:I45=0," ",'111 Wall_CTNR Schedule'!I8:I45)</f>
        <v>301:313,315:321</v>
      </c>
      <c r="N22" s="275"/>
      <c r="O22" s="292"/>
      <c r="P22" s="197"/>
    </row>
    <row r="23" spans="2:17" ht="20.100000000000001" customHeight="1" x14ac:dyDescent="0.2">
      <c r="B23" s="276" t="str">
        <v>CTN 2</v>
      </c>
      <c r="C23" s="206" t="str">
        <v>PROJ</v>
      </c>
      <c r="D23" s="211" t="str">
        <v>--</v>
      </c>
      <c r="E23" s="207" t="str">
        <v>Wk 32</v>
      </c>
      <c r="F23" s="208" t="str">
        <v>Aug-06</v>
      </c>
      <c r="G23" s="208" t="str">
        <v>Aug-31</v>
      </c>
      <c r="H23" s="226" t="str">
        <v>Sat Sep 05</v>
      </c>
      <c r="I23" s="255" t="str">
        <v>ETA</v>
      </c>
      <c r="J23" s="209" t="str">
        <v>FL 3</v>
      </c>
      <c r="K23" s="212" t="str">
        <v>20x</v>
      </c>
      <c r="L23" s="213"/>
      <c r="M23" s="214" t="str">
        <v>322:333,335:342</v>
      </c>
      <c r="N23" s="215"/>
      <c r="O23" s="293"/>
      <c r="P23" s="198"/>
    </row>
    <row r="24" spans="2:17" ht="20.100000000000001" customHeight="1" x14ac:dyDescent="0.2">
      <c r="B24" s="277" t="str">
        <v>CTN 3</v>
      </c>
      <c r="C24" s="216" t="str">
        <v>PROJ</v>
      </c>
      <c r="D24" s="217" t="str">
        <v>--</v>
      </c>
      <c r="E24" s="218" t="str">
        <v>Wk 32</v>
      </c>
      <c r="F24" s="219" t="str">
        <v>Aug-06</v>
      </c>
      <c r="G24" s="219" t="str">
        <v>Aug-31</v>
      </c>
      <c r="H24" s="227" t="str">
        <v>Sat Sep 05</v>
      </c>
      <c r="I24" s="256" t="str">
        <v>ETA</v>
      </c>
      <c r="J24" s="220" t="str">
        <v>FL 3,4</v>
      </c>
      <c r="K24" s="221" t="str">
        <v>20x</v>
      </c>
      <c r="L24" s="222"/>
      <c r="M24" s="223" t="str">
        <v>343:349,352:354,356:358,401:407</v>
      </c>
      <c r="N24" s="224"/>
      <c r="O24" s="294"/>
      <c r="P24" s="198"/>
    </row>
    <row r="25" spans="2:17" ht="20.100000000000001" customHeight="1" x14ac:dyDescent="0.2">
      <c r="B25" s="276" t="str">
        <v>CTN 4</v>
      </c>
      <c r="C25" s="206" t="str">
        <v>PROJ</v>
      </c>
      <c r="D25" s="211" t="str">
        <v>--</v>
      </c>
      <c r="E25" s="207" t="str">
        <v>Wk 37</v>
      </c>
      <c r="F25" s="208" t="str">
        <v>Sep-10</v>
      </c>
      <c r="G25" s="208" t="str">
        <v>Oct-05</v>
      </c>
      <c r="H25" s="226" t="str">
        <v>Sat Oct 10</v>
      </c>
      <c r="I25" s="255" t="str">
        <v>ETA</v>
      </c>
      <c r="J25" s="209" t="str">
        <v>FL 4</v>
      </c>
      <c r="K25" s="212" t="str">
        <v>18x</v>
      </c>
      <c r="L25" s="213"/>
      <c r="M25" s="214" t="str">
        <v>408:425</v>
      </c>
      <c r="N25" s="215"/>
      <c r="O25" s="293"/>
      <c r="P25" s="198"/>
    </row>
    <row r="26" spans="2:17" ht="20.100000000000001" customHeight="1" thickBot="1" x14ac:dyDescent="0.25">
      <c r="B26" s="278" t="str">
        <v>CTN 5</v>
      </c>
      <c r="C26" s="279" t="str">
        <v>PROJ</v>
      </c>
      <c r="D26" s="280" t="str">
        <v>--</v>
      </c>
      <c r="E26" s="281" t="str">
        <v>Wk 37</v>
      </c>
      <c r="F26" s="282" t="str">
        <v>Sep-10</v>
      </c>
      <c r="G26" s="282" t="str">
        <v>Oct-05</v>
      </c>
      <c r="H26" s="283" t="str">
        <v>Sat Oct 10</v>
      </c>
      <c r="I26" s="284" t="str">
        <v>ETA</v>
      </c>
      <c r="J26" s="285" t="str">
        <v>FL 4</v>
      </c>
      <c r="K26" s="286" t="str">
        <v>18x</v>
      </c>
      <c r="L26" s="287"/>
      <c r="M26" s="288" t="str">
        <v>426:443</v>
      </c>
      <c r="N26" s="289"/>
      <c r="O26" s="290"/>
      <c r="P26" s="198"/>
    </row>
    <row r="27" spans="2:17" ht="20.100000000000001" customHeight="1" x14ac:dyDescent="0.2">
      <c r="B27" s="171" t="str">
        <v>CTN 6</v>
      </c>
      <c r="C27" s="180" t="str">
        <v>PROJ</v>
      </c>
      <c r="D27" s="171" t="str">
        <v>--</v>
      </c>
      <c r="E27" s="183" t="str">
        <v>Wk 38</v>
      </c>
      <c r="F27" s="186" t="str">
        <v>Sep-17</v>
      </c>
      <c r="G27" s="186" t="str">
        <v>Oct-12</v>
      </c>
      <c r="H27" s="189" t="str">
        <v>Sat Oct 17</v>
      </c>
      <c r="I27" s="257" t="str">
        <v>ETA</v>
      </c>
      <c r="J27" s="193" t="str">
        <v>FL 4,5</v>
      </c>
      <c r="K27" s="210" t="str">
        <v>16x</v>
      </c>
      <c r="L27" s="196"/>
      <c r="M27" s="198" t="str">
        <v>444:449,452:458,501:503</v>
      </c>
      <c r="N27" s="198"/>
      <c r="O27" s="199"/>
      <c r="P27" s="198"/>
    </row>
    <row r="28" spans="2:17" x14ac:dyDescent="0.2">
      <c r="B28" s="171" t="str">
        <v>CTN 7</v>
      </c>
      <c r="C28" s="180" t="str">
        <v>PROJ</v>
      </c>
      <c r="D28" s="171" t="str">
        <v>--</v>
      </c>
      <c r="E28" s="183" t="str">
        <v>Wk 38</v>
      </c>
      <c r="F28" s="187" t="str">
        <v>Sep-17</v>
      </c>
      <c r="G28" s="187" t="str">
        <v>Oct-12</v>
      </c>
      <c r="H28" s="190" t="str">
        <v>Sat Oct 17</v>
      </c>
      <c r="I28" s="258" t="str">
        <v>ETA</v>
      </c>
      <c r="J28" s="194" t="str">
        <v>FL 5</v>
      </c>
      <c r="K28" s="195" t="str">
        <v>18x</v>
      </c>
      <c r="L28" s="176"/>
      <c r="M28" s="199" t="str">
        <v>504:521</v>
      </c>
      <c r="N28" s="199"/>
      <c r="O28" s="199"/>
      <c r="P28" s="199"/>
    </row>
    <row r="29" spans="2:17" x14ac:dyDescent="0.2">
      <c r="B29" s="178" t="str">
        <v>CTN 8</v>
      </c>
      <c r="C29" s="181" t="str">
        <v>PROJ</v>
      </c>
      <c r="D29" s="178" t="str">
        <v>--</v>
      </c>
      <c r="E29" s="184" t="str">
        <v>Wk 39</v>
      </c>
      <c r="F29" s="187" t="str">
        <v>Sep-24</v>
      </c>
      <c r="G29" s="187" t="str">
        <v>Oct-19</v>
      </c>
      <c r="H29" s="190" t="str">
        <v>Sat Oct 24</v>
      </c>
      <c r="I29" s="258" t="str">
        <v>ETA</v>
      </c>
      <c r="J29" s="194" t="str">
        <v>FL 5</v>
      </c>
      <c r="K29" s="195" t="str">
        <v>18x</v>
      </c>
      <c r="L29" s="176"/>
      <c r="M29" s="199" t="str">
        <v>522:539</v>
      </c>
      <c r="N29" s="199"/>
      <c r="O29" s="199"/>
      <c r="P29" s="199"/>
    </row>
    <row r="30" spans="2:17" x14ac:dyDescent="0.2">
      <c r="B30" s="178" t="str">
        <v>CTN 9</v>
      </c>
      <c r="C30" s="181" t="str">
        <v>PROJ</v>
      </c>
      <c r="D30" s="178" t="str">
        <v>--</v>
      </c>
      <c r="E30" s="184" t="str">
        <v>Wk 39</v>
      </c>
      <c r="F30" s="187" t="str">
        <v>Sep-24</v>
      </c>
      <c r="G30" s="187" t="str">
        <v>Oct-19</v>
      </c>
      <c r="H30" s="190" t="str">
        <v>Sat Oct 24</v>
      </c>
      <c r="I30" s="258" t="str">
        <v>ETA</v>
      </c>
      <c r="J30" s="194" t="str">
        <v>FL 5</v>
      </c>
      <c r="K30" s="195" t="str">
        <v>16x</v>
      </c>
      <c r="L30" s="176"/>
      <c r="M30" s="199" t="str">
        <v>540:549,552:557</v>
      </c>
      <c r="N30" s="199"/>
      <c r="O30" s="199"/>
      <c r="P30" s="199"/>
    </row>
    <row r="31" spans="2:17" x14ac:dyDescent="0.2">
      <c r="B31" s="178" t="str">
        <v>CTN 10</v>
      </c>
      <c r="C31" s="181" t="str">
        <v>PROJ</v>
      </c>
      <c r="D31" s="178" t="str">
        <v>--</v>
      </c>
      <c r="E31" s="184" t="str">
        <v>Wk 40</v>
      </c>
      <c r="F31" s="187" t="str">
        <v>Oct-01</v>
      </c>
      <c r="G31" s="187" t="str">
        <v>Oct-26</v>
      </c>
      <c r="H31" s="190" t="str">
        <v>Sat Oct 31</v>
      </c>
      <c r="I31" s="258" t="str">
        <v>ETA</v>
      </c>
      <c r="J31" s="194" t="str">
        <v>FL 5,6</v>
      </c>
      <c r="K31" s="195" t="str">
        <v>18x</v>
      </c>
      <c r="L31" s="176"/>
      <c r="M31" s="199" t="str">
        <v>558,601:617</v>
      </c>
      <c r="N31" s="199"/>
      <c r="O31" s="199"/>
      <c r="P31" s="199"/>
    </row>
    <row r="32" spans="2:17" x14ac:dyDescent="0.2">
      <c r="B32" s="178" t="str">
        <v>CTN 11</v>
      </c>
      <c r="C32" s="181" t="str">
        <v>PROJ</v>
      </c>
      <c r="D32" s="178" t="str">
        <v>--</v>
      </c>
      <c r="E32" s="184" t="str">
        <v>Wk 40</v>
      </c>
      <c r="F32" s="187" t="str">
        <v>Oct-01</v>
      </c>
      <c r="G32" s="187" t="str">
        <v>Oct-26</v>
      </c>
      <c r="H32" s="190" t="str">
        <v>Sat Oct 31</v>
      </c>
      <c r="I32" s="258" t="str">
        <v>ETA</v>
      </c>
      <c r="J32" s="194" t="str">
        <v>FL 6</v>
      </c>
      <c r="K32" s="195" t="str">
        <v>18x</v>
      </c>
      <c r="L32" s="176"/>
      <c r="M32" s="199" t="str">
        <v>618:635</v>
      </c>
      <c r="N32" s="199"/>
      <c r="O32" s="199"/>
      <c r="P32" s="199"/>
    </row>
    <row r="33" spans="2:16" x14ac:dyDescent="0.2">
      <c r="B33" s="178" t="str">
        <v>CTN 12</v>
      </c>
      <c r="C33" s="181" t="str">
        <v>PROJ</v>
      </c>
      <c r="D33" s="178" t="str">
        <v>--</v>
      </c>
      <c r="E33" s="184" t="str">
        <v>Wk 41</v>
      </c>
      <c r="F33" s="187" t="str">
        <v>Oct-08</v>
      </c>
      <c r="G33" s="187" t="str">
        <v>Nov-02</v>
      </c>
      <c r="H33" s="190" t="str">
        <v>Sat Nov 07</v>
      </c>
      <c r="I33" s="258" t="str">
        <v>ETA</v>
      </c>
      <c r="J33" s="194" t="str">
        <v>FL 6</v>
      </c>
      <c r="K33" s="195" t="str">
        <v>16x</v>
      </c>
      <c r="L33" s="176"/>
      <c r="M33" s="199" t="str">
        <v>636:649,652:653</v>
      </c>
      <c r="N33" s="199"/>
      <c r="O33" s="199"/>
      <c r="P33" s="199"/>
    </row>
    <row r="34" spans="2:16" x14ac:dyDescent="0.2">
      <c r="B34" s="178" t="str">
        <v>CTN 13</v>
      </c>
      <c r="C34" s="181" t="str">
        <v>PROJ</v>
      </c>
      <c r="D34" s="178" t="str">
        <v>--</v>
      </c>
      <c r="E34" s="184" t="str">
        <v>Wk 41</v>
      </c>
      <c r="F34" s="187" t="str">
        <v>Oct-08</v>
      </c>
      <c r="G34" s="187" t="str">
        <v>Nov-02</v>
      </c>
      <c r="H34" s="190" t="str">
        <v>Sat Nov 07</v>
      </c>
      <c r="I34" s="258" t="str">
        <v>ETA</v>
      </c>
      <c r="J34" s="194" t="str">
        <v>FL 6,7</v>
      </c>
      <c r="K34" s="195" t="str">
        <v>18x</v>
      </c>
      <c r="L34" s="176"/>
      <c r="M34" s="199" t="str">
        <v>654:658,701:713</v>
      </c>
      <c r="N34" s="199"/>
      <c r="O34" s="199"/>
      <c r="P34" s="199"/>
    </row>
    <row r="35" spans="2:16" x14ac:dyDescent="0.2">
      <c r="B35" s="178" t="str">
        <v>CTN 14</v>
      </c>
      <c r="C35" s="181" t="str">
        <v>PROJ</v>
      </c>
      <c r="D35" s="178" t="str">
        <v>--</v>
      </c>
      <c r="E35" s="184" t="str">
        <v>Wk 42</v>
      </c>
      <c r="F35" s="187" t="str">
        <v>Oct-15</v>
      </c>
      <c r="G35" s="187" t="str">
        <v>Nov-09</v>
      </c>
      <c r="H35" s="190" t="str">
        <v>Sat Nov 14</v>
      </c>
      <c r="I35" s="258" t="str">
        <v>ETA</v>
      </c>
      <c r="J35" s="194" t="str">
        <v>FL 7</v>
      </c>
      <c r="K35" s="195" t="str">
        <v>18x</v>
      </c>
      <c r="L35" s="176"/>
      <c r="M35" s="199" t="str">
        <v>714:731</v>
      </c>
      <c r="N35" s="199"/>
      <c r="O35" s="199"/>
      <c r="P35" s="199"/>
    </row>
    <row r="36" spans="2:16" x14ac:dyDescent="0.2">
      <c r="B36" s="178" t="str">
        <v>CTN 15</v>
      </c>
      <c r="C36" s="181" t="str">
        <v>PROJ</v>
      </c>
      <c r="D36" s="178" t="str">
        <v>--</v>
      </c>
      <c r="E36" s="184" t="str">
        <v>Wk 42</v>
      </c>
      <c r="F36" s="187" t="str">
        <v>Oct-15</v>
      </c>
      <c r="G36" s="187" t="str">
        <v>Nov-09</v>
      </c>
      <c r="H36" s="190" t="str">
        <v>Sat Nov 14</v>
      </c>
      <c r="I36" s="258" t="str">
        <v>ETA</v>
      </c>
      <c r="J36" s="194" t="str">
        <v>FL 7</v>
      </c>
      <c r="K36" s="195" t="str">
        <v>18x</v>
      </c>
      <c r="L36" s="176"/>
      <c r="M36" s="199" t="str">
        <v>732:749</v>
      </c>
      <c r="N36" s="199"/>
      <c r="O36" s="199"/>
      <c r="P36" s="199"/>
    </row>
    <row r="37" spans="2:16" x14ac:dyDescent="0.2">
      <c r="B37" s="178" t="str">
        <v>CTN 16</v>
      </c>
      <c r="C37" s="181" t="str">
        <v>PROJ</v>
      </c>
      <c r="D37" s="178" t="str">
        <v>--</v>
      </c>
      <c r="E37" s="184" t="str">
        <v>Wk 43</v>
      </c>
      <c r="F37" s="187" t="str">
        <v>Oct-22</v>
      </c>
      <c r="G37" s="187" t="str">
        <v>Nov-16</v>
      </c>
      <c r="H37" s="190" t="str">
        <v>Sat Nov 21</v>
      </c>
      <c r="I37" s="258" t="str">
        <v>ETA</v>
      </c>
      <c r="J37" s="194" t="str">
        <v>FL 7,8</v>
      </c>
      <c r="K37" s="195" t="str">
        <v>16x</v>
      </c>
      <c r="L37" s="176"/>
      <c r="M37" s="199" t="str">
        <v>752:758,801:809</v>
      </c>
      <c r="N37" s="199"/>
      <c r="O37" s="199"/>
      <c r="P37" s="199"/>
    </row>
    <row r="38" spans="2:16" x14ac:dyDescent="0.2">
      <c r="B38" s="178" t="str">
        <v>CTN 17</v>
      </c>
      <c r="C38" s="181" t="str">
        <v>PROJ</v>
      </c>
      <c r="D38" s="178" t="str">
        <v>--</v>
      </c>
      <c r="E38" s="184" t="str">
        <v>Wk 44</v>
      </c>
      <c r="F38" s="187" t="str">
        <v>Oct-29</v>
      </c>
      <c r="G38" s="187" t="str">
        <v>Nov-23</v>
      </c>
      <c r="H38" s="190" t="str">
        <v>Sat Nov 28</v>
      </c>
      <c r="I38" s="258" t="str">
        <v>ETA</v>
      </c>
      <c r="J38" s="194" t="str">
        <v>FL 8</v>
      </c>
      <c r="K38" s="195" t="str">
        <v>18x</v>
      </c>
      <c r="L38" s="176"/>
      <c r="M38" s="199" t="str">
        <v>810:827</v>
      </c>
      <c r="N38" s="199"/>
      <c r="O38" s="199"/>
      <c r="P38" s="199"/>
    </row>
    <row r="39" spans="2:16" x14ac:dyDescent="0.2">
      <c r="B39" s="178" t="str">
        <v>CTN 18</v>
      </c>
      <c r="C39" s="181" t="str">
        <v>PROJ</v>
      </c>
      <c r="D39" s="178" t="str">
        <v>--</v>
      </c>
      <c r="E39" s="184" t="str">
        <v>Wk 44</v>
      </c>
      <c r="F39" s="187" t="str">
        <v>Oct-29</v>
      </c>
      <c r="G39" s="187" t="str">
        <v>Nov-23</v>
      </c>
      <c r="H39" s="190" t="str">
        <v>Sat Nov 28</v>
      </c>
      <c r="I39" s="258" t="str">
        <v>ETA</v>
      </c>
      <c r="J39" s="194" t="str">
        <v>FL 8</v>
      </c>
      <c r="K39" s="195" t="str">
        <v>18x</v>
      </c>
      <c r="L39" s="176"/>
      <c r="M39" s="199" t="str">
        <v>828:845</v>
      </c>
      <c r="N39" s="199"/>
      <c r="O39" s="199"/>
      <c r="P39" s="199"/>
    </row>
    <row r="40" spans="2:16" x14ac:dyDescent="0.2">
      <c r="B40" s="178" t="str">
        <v>CTN 19</v>
      </c>
      <c r="C40" s="181" t="str">
        <v>PROJ</v>
      </c>
      <c r="D40" s="178" t="str">
        <v>--</v>
      </c>
      <c r="E40" s="184" t="str">
        <v>Wk 45</v>
      </c>
      <c r="F40" s="187" t="str">
        <v>Nov-05</v>
      </c>
      <c r="G40" s="187" t="str">
        <v>Nov-30</v>
      </c>
      <c r="H40" s="190" t="str">
        <v>Sat Dec 05</v>
      </c>
      <c r="I40" s="258" t="str">
        <v>ETA</v>
      </c>
      <c r="J40" s="194" t="str">
        <v>FL 8,9</v>
      </c>
      <c r="K40" s="195" t="str">
        <v>16x</v>
      </c>
      <c r="L40" s="176"/>
      <c r="M40" s="199" t="str">
        <v>846:849,852:858,901:905</v>
      </c>
      <c r="N40" s="199"/>
      <c r="O40" s="199"/>
      <c r="P40" s="199"/>
    </row>
    <row r="41" spans="2:16" x14ac:dyDescent="0.2">
      <c r="B41" s="178" t="str">
        <v>CTN 20</v>
      </c>
      <c r="C41" s="181" t="str">
        <v>PROJ</v>
      </c>
      <c r="D41" s="178" t="str">
        <v>--</v>
      </c>
      <c r="E41" s="184" t="str">
        <v>Wk 46</v>
      </c>
      <c r="F41" s="187" t="str">
        <v>Nov-12</v>
      </c>
      <c r="G41" s="187" t="str">
        <v>Dec-07</v>
      </c>
      <c r="H41" s="190" t="str">
        <v>Sat Dec 12</v>
      </c>
      <c r="I41" s="258" t="str">
        <v>ETA</v>
      </c>
      <c r="J41" s="194" t="str">
        <v>FL 9</v>
      </c>
      <c r="K41" s="195" t="str">
        <v>18x</v>
      </c>
      <c r="L41" s="176"/>
      <c r="M41" s="199" t="str">
        <v>906:923</v>
      </c>
      <c r="N41" s="199"/>
      <c r="O41" s="199"/>
      <c r="P41" s="199"/>
    </row>
    <row r="42" spans="2:16" x14ac:dyDescent="0.2">
      <c r="B42" s="178" t="str">
        <v>CTN 21</v>
      </c>
      <c r="C42" s="181" t="str">
        <v>PROJ</v>
      </c>
      <c r="D42" s="178" t="str">
        <v>--</v>
      </c>
      <c r="E42" s="184" t="str">
        <v>Wk 46</v>
      </c>
      <c r="F42" s="187" t="str">
        <v>Nov-12</v>
      </c>
      <c r="G42" s="187" t="str">
        <v>Dec-07</v>
      </c>
      <c r="H42" s="190" t="str">
        <v>Sat Dec 12</v>
      </c>
      <c r="I42" s="258" t="str">
        <v>ETA</v>
      </c>
      <c r="J42" s="194" t="str">
        <v>FL 9</v>
      </c>
      <c r="K42" s="195" t="str">
        <v>18x</v>
      </c>
      <c r="L42" s="176"/>
      <c r="M42" s="199" t="str">
        <v>924:941</v>
      </c>
      <c r="N42" s="199"/>
      <c r="O42" s="199"/>
      <c r="P42" s="199"/>
    </row>
    <row r="43" spans="2:16" x14ac:dyDescent="0.2">
      <c r="B43" s="178" t="str">
        <v>CTN 22</v>
      </c>
      <c r="C43" s="181" t="str">
        <v>PROJ</v>
      </c>
      <c r="D43" s="178" t="str">
        <v>--</v>
      </c>
      <c r="E43" s="184" t="str">
        <v>Wk 47</v>
      </c>
      <c r="F43" s="187" t="str">
        <v>Nov-19</v>
      </c>
      <c r="G43" s="187" t="str">
        <v>Dec-14</v>
      </c>
      <c r="H43" s="190" t="str">
        <v>Sat Dec 19</v>
      </c>
      <c r="I43" s="258" t="str">
        <v>ETA</v>
      </c>
      <c r="J43" s="194" t="str">
        <v>FL 9,10</v>
      </c>
      <c r="K43" s="195" t="str">
        <v>16x</v>
      </c>
      <c r="L43" s="176"/>
      <c r="M43" s="199" t="str">
        <v>942:949,952:958,1001</v>
      </c>
      <c r="N43" s="199"/>
      <c r="O43" s="199"/>
      <c r="P43" s="199"/>
    </row>
    <row r="44" spans="2:16" x14ac:dyDescent="0.2">
      <c r="B44" s="178" t="str">
        <v>CTN 23</v>
      </c>
      <c r="C44" s="181" t="str">
        <v>PROJ</v>
      </c>
      <c r="D44" s="178" t="str">
        <v>--</v>
      </c>
      <c r="E44" s="184" t="str">
        <v>Wk 47</v>
      </c>
      <c r="F44" s="187" t="str">
        <v>Nov-19</v>
      </c>
      <c r="G44" s="187" t="str">
        <v>Dec-14</v>
      </c>
      <c r="H44" s="190" t="str">
        <v>Sat Dec 19</v>
      </c>
      <c r="I44" s="258" t="str">
        <v>ETA</v>
      </c>
      <c r="J44" s="194" t="str">
        <v>FL 10</v>
      </c>
      <c r="K44" s="195" t="str">
        <v>18x</v>
      </c>
      <c r="L44" s="176"/>
      <c r="M44" s="199" t="str">
        <v>1002:1019</v>
      </c>
      <c r="N44" s="199"/>
      <c r="O44" s="199"/>
      <c r="P44" s="199"/>
    </row>
    <row r="45" spans="2:16" x14ac:dyDescent="0.2">
      <c r="B45" s="178" t="str">
        <v>CTN 24</v>
      </c>
      <c r="C45" s="181" t="str">
        <v>PROJ</v>
      </c>
      <c r="D45" s="178" t="str">
        <v>--</v>
      </c>
      <c r="E45" s="184" t="str">
        <v>Wk 48</v>
      </c>
      <c r="F45" s="187" t="str">
        <v>Nov-26</v>
      </c>
      <c r="G45" s="187" t="str">
        <v>Dec-21</v>
      </c>
      <c r="H45" s="190" t="str">
        <v>Sat Dec 26</v>
      </c>
      <c r="I45" s="258" t="str">
        <v>ETA</v>
      </c>
      <c r="J45" s="194" t="str">
        <v>FL 10</v>
      </c>
      <c r="K45" s="195" t="str">
        <v>18x</v>
      </c>
      <c r="L45" s="176"/>
      <c r="M45" s="199" t="str">
        <v>1020:1037</v>
      </c>
      <c r="N45" s="199"/>
      <c r="O45" s="199"/>
      <c r="P45" s="199"/>
    </row>
    <row r="46" spans="2:16" x14ac:dyDescent="0.2">
      <c r="B46" s="178" t="str">
        <v>CTN 25</v>
      </c>
      <c r="C46" s="181" t="str">
        <v>PROJ</v>
      </c>
      <c r="D46" s="178" t="str">
        <v>--</v>
      </c>
      <c r="E46" s="184" t="str">
        <v>Wk 48</v>
      </c>
      <c r="F46" s="187" t="str">
        <v>Nov-26</v>
      </c>
      <c r="G46" s="187" t="str">
        <v>Dec-21</v>
      </c>
      <c r="H46" s="190" t="str">
        <v>Sat Dec 26</v>
      </c>
      <c r="I46" s="258" t="str">
        <v>ETA</v>
      </c>
      <c r="J46" s="194" t="str">
        <v>FL 10</v>
      </c>
      <c r="K46" s="195" t="str">
        <v>16x</v>
      </c>
      <c r="L46" s="176"/>
      <c r="M46" s="199" t="str">
        <v>1038:1049,1052:1055</v>
      </c>
      <c r="N46" s="199"/>
      <c r="O46" s="199"/>
      <c r="P46" s="199"/>
    </row>
    <row r="47" spans="2:16" x14ac:dyDescent="0.2">
      <c r="B47" s="178" t="str">
        <v>CTN 26</v>
      </c>
      <c r="C47" s="181" t="str">
        <v>PROJ</v>
      </c>
      <c r="D47" s="178" t="str">
        <v>--</v>
      </c>
      <c r="E47" s="184" t="str">
        <v>Wk 49</v>
      </c>
      <c r="F47" s="187" t="str">
        <v>Dec-03</v>
      </c>
      <c r="G47" s="187" t="str">
        <v>Dec-28</v>
      </c>
      <c r="H47" s="190" t="str">
        <v>Sat Jan 02</v>
      </c>
      <c r="I47" s="258" t="str">
        <v>ETA</v>
      </c>
      <c r="J47" s="194" t="str">
        <v>FL 10,11</v>
      </c>
      <c r="K47" s="195" t="str">
        <v>18x</v>
      </c>
      <c r="L47" s="176"/>
      <c r="M47" s="199" t="str">
        <v>1056:1058,1101:1115</v>
      </c>
      <c r="N47" s="199"/>
      <c r="O47" s="199"/>
      <c r="P47" s="199"/>
    </row>
    <row r="48" spans="2:16" x14ac:dyDescent="0.2">
      <c r="B48" s="178" t="str">
        <v>CTN 27</v>
      </c>
      <c r="C48" s="181" t="str">
        <v>PROJ</v>
      </c>
      <c r="D48" s="178" t="str">
        <v>--</v>
      </c>
      <c r="E48" s="184" t="str">
        <v>Wk 49</v>
      </c>
      <c r="F48" s="187" t="str">
        <v>Dec-03</v>
      </c>
      <c r="G48" s="187" t="str">
        <v>Dec-28</v>
      </c>
      <c r="H48" s="190" t="str">
        <v>Sat Jan 02</v>
      </c>
      <c r="I48" s="258" t="str">
        <v>ETA</v>
      </c>
      <c r="J48" s="194" t="str">
        <v>FL 11</v>
      </c>
      <c r="K48" s="195" t="str">
        <v>18x</v>
      </c>
      <c r="L48" s="176"/>
      <c r="M48" s="199" t="str">
        <v>1116:1133</v>
      </c>
      <c r="N48" s="199"/>
      <c r="O48" s="199"/>
      <c r="P48" s="199"/>
    </row>
    <row r="49" spans="2:16" x14ac:dyDescent="0.2">
      <c r="B49" s="178" t="str">
        <v>CTN 28</v>
      </c>
      <c r="C49" s="181" t="str">
        <v>PROJ</v>
      </c>
      <c r="D49" s="178" t="str">
        <v>--</v>
      </c>
      <c r="E49" s="184" t="str">
        <v>Wk 50</v>
      </c>
      <c r="F49" s="187" t="str">
        <v>Dec-10</v>
      </c>
      <c r="G49" s="187" t="str">
        <v>Jan-04</v>
      </c>
      <c r="H49" s="190" t="str">
        <v>Sat Jan 09</v>
      </c>
      <c r="I49" s="258" t="str">
        <v>ETA</v>
      </c>
      <c r="J49" s="194" t="str">
        <v>FL 11</v>
      </c>
      <c r="K49" s="195" t="str">
        <v>16x</v>
      </c>
      <c r="L49" s="176"/>
      <c r="M49" s="199" t="str">
        <v>1134:1149</v>
      </c>
      <c r="N49" s="199"/>
      <c r="O49" s="199"/>
      <c r="P49" s="199"/>
    </row>
    <row r="50" spans="2:16" x14ac:dyDescent="0.2">
      <c r="B50" s="178" t="str">
        <v>CTN 29</v>
      </c>
      <c r="C50" s="181" t="str">
        <v>PROJ</v>
      </c>
      <c r="D50" s="178" t="str">
        <v>--</v>
      </c>
      <c r="E50" s="184" t="str">
        <v>Wk 50</v>
      </c>
      <c r="F50" s="187" t="str">
        <v>Dec-10</v>
      </c>
      <c r="G50" s="187" t="str">
        <v>Jan-04</v>
      </c>
      <c r="H50" s="190" t="str">
        <v>Sat Jan 09</v>
      </c>
      <c r="I50" s="258" t="str">
        <v>ETA</v>
      </c>
      <c r="J50" s="194" t="str">
        <v>FL 11,12</v>
      </c>
      <c r="K50" s="195" t="str">
        <v>18x</v>
      </c>
      <c r="L50" s="176"/>
      <c r="M50" s="199" t="str">
        <v>1152:1158,1201:1211</v>
      </c>
      <c r="N50" s="199"/>
      <c r="O50" s="199"/>
      <c r="P50" s="199"/>
    </row>
    <row r="51" spans="2:16" x14ac:dyDescent="0.2">
      <c r="B51" s="178" t="str">
        <v>CTN 30</v>
      </c>
      <c r="C51" s="181" t="str">
        <v>PROJ</v>
      </c>
      <c r="D51" s="178" t="str">
        <v>--</v>
      </c>
      <c r="E51" s="184" t="str">
        <v>Wk 51</v>
      </c>
      <c r="F51" s="187" t="str">
        <v>Dec-17</v>
      </c>
      <c r="G51" s="187" t="str">
        <v>Jan-11</v>
      </c>
      <c r="H51" s="190" t="str">
        <v>Sat Jan 16</v>
      </c>
      <c r="I51" s="258" t="str">
        <v>ETA</v>
      </c>
      <c r="J51" s="194" t="str">
        <v>FL 12</v>
      </c>
      <c r="K51" s="195" t="str">
        <v>18x</v>
      </c>
      <c r="L51" s="176"/>
      <c r="M51" s="199" t="str">
        <v>1212:1229</v>
      </c>
      <c r="N51" s="199"/>
      <c r="O51" s="199"/>
      <c r="P51" s="199"/>
    </row>
    <row r="52" spans="2:16" x14ac:dyDescent="0.2">
      <c r="B52" s="179" t="str">
        <v>CTN 31</v>
      </c>
      <c r="C52" s="182" t="str">
        <v>PROJ</v>
      </c>
      <c r="D52" s="179" t="str">
        <v>--</v>
      </c>
      <c r="E52" s="185" t="str">
        <v>Wk 51</v>
      </c>
      <c r="F52" s="188" t="str">
        <v>Dec-17</v>
      </c>
      <c r="G52" s="188" t="str">
        <v>Jan-11</v>
      </c>
      <c r="H52" s="190" t="str">
        <v>Sat Jan 16</v>
      </c>
      <c r="I52" s="258" t="str">
        <v>ETA</v>
      </c>
      <c r="J52" s="194" t="str">
        <v>FL 12</v>
      </c>
      <c r="K52" s="195" t="str">
        <v>18x</v>
      </c>
      <c r="L52" s="176"/>
      <c r="M52" s="200" t="str">
        <v>1230:1247</v>
      </c>
      <c r="N52" s="199"/>
      <c r="O52" s="199"/>
      <c r="P52" s="199"/>
    </row>
    <row r="53" spans="2:16" x14ac:dyDescent="0.2">
      <c r="B53" s="179" t="str">
        <v>CTN Doors</v>
      </c>
      <c r="C53" s="182" t="str">
        <v>PROJ</v>
      </c>
      <c r="D53" s="179" t="str">
        <v>--</v>
      </c>
      <c r="E53" s="185" t="str">
        <v>Wk 54</v>
      </c>
      <c r="F53" s="188" t="str">
        <v>Jan-07</v>
      </c>
      <c r="G53" s="188" t="str">
        <v>Feb-01</v>
      </c>
      <c r="H53" s="190" t="str">
        <v>Sat Feb 06</v>
      </c>
      <c r="I53" s="258" t="str">
        <v>ETA</v>
      </c>
      <c r="J53" s="194" t="str">
        <v>FL 3</v>
      </c>
      <c r="K53" s="195" t="str">
        <v>58x</v>
      </c>
      <c r="L53" s="176"/>
      <c r="M53" s="199" t="str">
        <v>3rd Floor Doors</v>
      </c>
      <c r="N53" s="199"/>
      <c r="O53" s="199"/>
      <c r="P53" s="199"/>
    </row>
    <row r="54" spans="2:16" x14ac:dyDescent="0.2">
      <c r="B54" s="179" t="str">
        <v>CTN H1</v>
      </c>
      <c r="C54" s="182" t="str">
        <v>PROJ</v>
      </c>
      <c r="D54" s="179" t="str">
        <v>--</v>
      </c>
      <c r="E54" s="185" t="str">
        <v>Wk 51</v>
      </c>
      <c r="F54" s="188" t="str">
        <v>Dec-17</v>
      </c>
      <c r="G54" s="188" t="str">
        <v>Jan-11</v>
      </c>
      <c r="H54" s="190" t="str">
        <v>Sat Jan 16</v>
      </c>
      <c r="I54" s="258" t="str">
        <v>ETA</v>
      </c>
      <c r="J54" s="194" t="str">
        <v>FL 3:10</v>
      </c>
      <c r="K54" s="195" t="str">
        <v>16x</v>
      </c>
      <c r="L54" s="176"/>
      <c r="M54" s="199" t="str">
        <v>350:351,450:451,550:551,650:651,750:751,850:851,950:951,1050:1051</v>
      </c>
      <c r="N54" s="199"/>
      <c r="O54" s="199"/>
      <c r="P54" s="199"/>
    </row>
    <row r="55" spans="2:16" x14ac:dyDescent="0.2">
      <c r="B55" s="179"/>
      <c r="C55" s="182"/>
      <c r="D55" s="179"/>
      <c r="E55" s="185" t="str">
        <v xml:space="preserve"> </v>
      </c>
      <c r="F55" s="188" t="str">
        <v xml:space="preserve"> </v>
      </c>
      <c r="G55" s="188" t="str">
        <v xml:space="preserve"> </v>
      </c>
      <c r="H55" s="190" t="str">
        <v xml:space="preserve"> </v>
      </c>
      <c r="I55" s="258" t="str">
        <v xml:space="preserve"> </v>
      </c>
      <c r="J55" s="194" t="str">
        <v xml:space="preserve"> </v>
      </c>
      <c r="K55" s="195" t="str">
        <v xml:space="preserve"> </v>
      </c>
      <c r="L55" s="176"/>
      <c r="M55" s="199" t="str">
        <v xml:space="preserve"> </v>
      </c>
    </row>
    <row r="56" spans="2:16" x14ac:dyDescent="0.2">
      <c r="B56" s="179"/>
      <c r="C56" s="182"/>
      <c r="D56" s="179"/>
      <c r="E56" s="185" t="str">
        <v xml:space="preserve"> </v>
      </c>
      <c r="F56" s="188" t="str">
        <v xml:space="preserve"> </v>
      </c>
      <c r="G56" s="188" t="str">
        <v xml:space="preserve"> </v>
      </c>
      <c r="H56" s="190" t="str">
        <v xml:space="preserve"> </v>
      </c>
      <c r="I56" s="258" t="str">
        <v xml:space="preserve"> </v>
      </c>
      <c r="J56" s="194" t="str">
        <v xml:space="preserve"> </v>
      </c>
      <c r="K56" s="195" t="str">
        <v xml:space="preserve"> </v>
      </c>
      <c r="L56" s="176"/>
      <c r="M56" s="199" t="str">
        <v xml:space="preserve"> </v>
      </c>
    </row>
    <row r="57" spans="2:16" x14ac:dyDescent="0.2">
      <c r="B57" s="179"/>
      <c r="C57" s="182"/>
      <c r="D57" s="179"/>
      <c r="E57" s="185" t="str">
        <v xml:space="preserve"> </v>
      </c>
      <c r="F57" s="188" t="str">
        <v xml:space="preserve"> </v>
      </c>
      <c r="G57" s="188" t="str">
        <v xml:space="preserve"> </v>
      </c>
      <c r="H57" s="190" t="str">
        <v xml:space="preserve"> </v>
      </c>
      <c r="I57" s="258" t="str">
        <v xml:space="preserve"> </v>
      </c>
      <c r="J57" s="194" t="str">
        <v xml:space="preserve"> </v>
      </c>
      <c r="K57" s="195" t="str">
        <v xml:space="preserve"> </v>
      </c>
      <c r="L57" s="176"/>
      <c r="M57" s="199" t="str">
        <v xml:space="preserve"> </v>
      </c>
    </row>
    <row r="58" spans="2:16" x14ac:dyDescent="0.2">
      <c r="B58" s="179"/>
      <c r="C58" s="182"/>
      <c r="D58" s="179"/>
      <c r="E58" s="185" t="str">
        <v xml:space="preserve"> </v>
      </c>
      <c r="F58" s="188" t="str">
        <v xml:space="preserve"> </v>
      </c>
      <c r="G58" s="188" t="str">
        <v xml:space="preserve"> </v>
      </c>
      <c r="H58" s="190" t="str">
        <v xml:space="preserve"> </v>
      </c>
      <c r="I58" s="258" t="str">
        <v xml:space="preserve"> </v>
      </c>
      <c r="J58" s="194" t="str">
        <v xml:space="preserve"> </v>
      </c>
      <c r="K58" s="195" t="str">
        <v xml:space="preserve"> </v>
      </c>
      <c r="L58" s="176"/>
      <c r="M58" s="199" t="str">
        <v xml:space="preserve"> </v>
      </c>
    </row>
    <row r="59" spans="2:16" x14ac:dyDescent="0.2">
      <c r="B59" s="179"/>
      <c r="C59" s="182"/>
      <c r="D59" s="179"/>
      <c r="E59" s="185" t="str">
        <v xml:space="preserve"> </v>
      </c>
      <c r="F59" s="188" t="str">
        <v xml:space="preserve"> </v>
      </c>
      <c r="G59" s="188" t="str">
        <v xml:space="preserve"> </v>
      </c>
      <c r="H59" s="190" t="str">
        <v xml:space="preserve"> </v>
      </c>
      <c r="I59" s="258" t="str">
        <v xml:space="preserve"> </v>
      </c>
      <c r="J59" s="194" t="str">
        <v xml:space="preserve"> </v>
      </c>
      <c r="K59" s="195" t="str">
        <v xml:space="preserve"> </v>
      </c>
      <c r="L59" s="176"/>
      <c r="M59" s="199" t="str">
        <v xml:space="preserve"> </v>
      </c>
    </row>
  </sheetData>
  <mergeCells count="2">
    <mergeCell ref="N2:O2"/>
    <mergeCell ref="B2:B3"/>
  </mergeCells>
  <conditionalFormatting sqref="I22:I59">
    <cfRule type="containsText" dxfId="24" priority="1" operator="containsText" text="Confirmed">
      <formula>NOT(ISERROR(SEARCH("Confirmed",I22)))</formula>
    </cfRule>
  </conditionalFormatting>
  <printOptions horizontalCentered="1"/>
  <pageMargins left="0.25" right="0.25" top="0.25" bottom="0.25" header="0.3" footer="0.3"/>
  <pageSetup scale="6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EDF4-C49F-4675-A4CB-9528912B4C6C}">
  <dimension ref="B3:N32"/>
  <sheetViews>
    <sheetView workbookViewId="0">
      <selection activeCell="M20" sqref="M20"/>
    </sheetView>
  </sheetViews>
  <sheetFormatPr defaultRowHeight="14.25" x14ac:dyDescent="0.2"/>
  <cols>
    <col min="3" max="3" width="7" customWidth="1"/>
    <col min="4" max="4" width="11.88671875" customWidth="1"/>
  </cols>
  <sheetData>
    <row r="3" spans="2:14" ht="27" customHeight="1" x14ac:dyDescent="0.2">
      <c r="B3" s="361" t="s">
        <v>112</v>
      </c>
      <c r="C3" s="361"/>
      <c r="D3" s="361"/>
      <c r="E3" s="361"/>
      <c r="F3" s="361"/>
      <c r="G3" s="361"/>
      <c r="H3" s="361"/>
    </row>
    <row r="4" spans="2:14" x14ac:dyDescent="0.2">
      <c r="B4" s="330"/>
      <c r="C4" s="368"/>
      <c r="D4" s="368"/>
      <c r="E4" s="368"/>
      <c r="F4" s="368"/>
      <c r="G4" s="368"/>
      <c r="H4" s="368"/>
    </row>
    <row r="5" spans="2:14" ht="15" thickBot="1" x14ac:dyDescent="0.25">
      <c r="B5" s="331" t="s">
        <v>108</v>
      </c>
      <c r="C5" s="332" t="s">
        <v>109</v>
      </c>
      <c r="D5" s="333" t="s">
        <v>110</v>
      </c>
      <c r="E5" s="334" t="s">
        <v>111</v>
      </c>
      <c r="F5" s="334"/>
      <c r="G5" s="334"/>
      <c r="H5" s="333"/>
    </row>
    <row r="6" spans="2:14" x14ac:dyDescent="0.2">
      <c r="B6" s="362" t="s">
        <v>15</v>
      </c>
      <c r="C6" s="335" cm="1">
        <f t="array" ref="C6:C32">ROW(3:29)</f>
        <v>3</v>
      </c>
      <c r="D6" s="342" cm="1">
        <f t="array" ref="D6:D32">'[1]ROJ Dates'!$D$6:$D$32</f>
        <v>46272</v>
      </c>
      <c r="E6" s="335" t="str" cm="1">
        <f t="array" ref="E6">IFERROR("CTN " &amp; INDEX('111 Wall_CTNR Schedule'!$E$8:$E$40,SMALL(IF(LEFT(SUBSTITUTE('111 Wall_CTNR Schedule'!$H$8:$H$40," ","")&amp;",",LEN($C6&amp;"")+1)=$C6&amp;",",ROW('111 Wall_CTNR Schedule'!$H$8:$H$40)-ROW('111 Wall_CTNR Schedule'!$H$8)+1),COLUMNS($D6:D6))),"")</f>
        <v>CTN 1</v>
      </c>
      <c r="F6" s="335" t="str" cm="1">
        <f t="array" ref="F6">IFERROR("CTN " &amp; INDEX('111 Wall_CTNR Schedule'!$E$8:$E$40,SMALL(IF(LEFT(SUBSTITUTE('111 Wall_CTNR Schedule'!$H$8:$H$40," ","")&amp;",",LEN($C6&amp;"")+1)=$C6&amp;",",ROW('111 Wall_CTNR Schedule'!$H$8:$H$40)-ROW('111 Wall_CTNR Schedule'!$H$8)+1),COLUMNS($D6:E6))),"")</f>
        <v>CTN 2</v>
      </c>
      <c r="G6" s="335" t="str" cm="1">
        <f t="array" ref="G6">IFERROR("CTN " &amp; INDEX('111 Wall_CTNR Schedule'!$E$8:$E$40,SMALL(IF(LEFT(SUBSTITUTE('111 Wall_CTNR Schedule'!$H$8:$H$40," ","")&amp;",",LEN($C6&amp;"")+1)=$C6&amp;",",ROW('111 Wall_CTNR Schedule'!$H$8:$H$40)-ROW('111 Wall_CTNR Schedule'!$H$8)+1),COLUMNS($D6:F6))),"")</f>
        <v>CTN 3</v>
      </c>
      <c r="H6" s="345" t="str" cm="1">
        <f t="array" ref="H6">IFERROR("CTN " &amp; INDEX('111 Wall_CTNR Schedule'!$E$8:$E$40,SMALL(IF(LEFT(SUBSTITUTE('111 Wall_CTNR Schedule'!$H$8:$H$40," ","")&amp;",",LEN($C6&amp;"")+1)=$C6&amp;",",ROW('111 Wall_CTNR Schedule'!$H$8:$H$40)-ROW('111 Wall_CTNR Schedule'!$H$8)+1),COLUMNS($D6:G6))),"")</f>
        <v>CTN Doors</v>
      </c>
      <c r="I6" t="str" cm="1">
        <f t="array" ref="I6">IFERROR("CTN " &amp; INDEX('111 Wall_CTNR Schedule'!$E$8:$E$40,SMALL(IF(LEFT(SUBSTITUTE('111 Wall_CTNR Schedule'!$H$8:$H$40," ","")&amp;",",LEN($C6&amp;"")+1)=$C6&amp;",",ROW('111 Wall_CTNR Schedule'!$H$8:$H$40)-ROW('111 Wall_CTNR Schedule'!$H$8)+1),COLUMNS($D6:H6))),"")</f>
        <v/>
      </c>
      <c r="J6" t="str" cm="1">
        <f t="array" ref="J6">IFERROR("CTN " &amp; INDEX('111 Wall_CTNR Schedule'!$E$8:$E$40,SMALL(IF(LEFT(SUBSTITUTE('111 Wall_CTNR Schedule'!$H$8:$H$40," ","")&amp;",",LEN($C6&amp;"")+1)=$C6&amp;",",ROW('111 Wall_CTNR Schedule'!$H$8:$H$40)-ROW('111 Wall_CTNR Schedule'!$H$8)+1),COLUMNS($D6:I6))),"")</f>
        <v/>
      </c>
      <c r="K6" t="str" cm="1">
        <f t="array" ref="K6">IFERROR("CTN " &amp; INDEX('111 Wall_CTNR Schedule'!$E$8:$E$40,SMALL(IF(LEFT(SUBSTITUTE('111 Wall_CTNR Schedule'!$H$8:$H$40," ","")&amp;",",LEN($C6&amp;"")+1)=$C6&amp;",",ROW('111 Wall_CTNR Schedule'!$H$8:$H$40)-ROW('111 Wall_CTNR Schedule'!$H$8)+1),COLUMNS($D6:J6))),"")</f>
        <v/>
      </c>
      <c r="L6" t="str" cm="1">
        <f t="array" ref="L6">IFERROR("CTN " &amp; INDEX('111 Wall_CTNR Schedule'!$E$8:$E$40,SMALL(IF(LEFT(SUBSTITUTE('111 Wall_CTNR Schedule'!$H$8:$H$40," ","")&amp;",",LEN($C6&amp;"")+1)=$C6&amp;",",ROW('111 Wall_CTNR Schedule'!$H$8:$H$40)-ROW('111 Wall_CTNR Schedule'!$H$8)+1),COLUMNS($D6:K6))),"")</f>
        <v/>
      </c>
      <c r="M6" t="str" cm="1">
        <f t="array" ref="M6">IFERROR("CTN " &amp; INDEX('111 Wall_CTNR Schedule'!$E$8:$E$40,SMALL(IF(LEFT(SUBSTITUTE('111 Wall_CTNR Schedule'!$H$8:$H$40," ","")&amp;",",LEN($C6&amp;"")+1)=$C6&amp;",",ROW('111 Wall_CTNR Schedule'!$H$8:$H$40)-ROW('111 Wall_CTNR Schedule'!$H$8)+1),COLUMNS($D6:L6))),"")</f>
        <v/>
      </c>
      <c r="N6" t="str" cm="1">
        <f t="array" ref="N6">IFERROR("CTN " &amp; INDEX('111 Wall_CTNR Schedule'!$E$8:$E$40,SMALL(IF(LEFT(SUBSTITUTE('111 Wall_CTNR Schedule'!$H$8:$H$40," ","")&amp;",",LEN($C6&amp;"")+1)=$C6&amp;",",ROW('111 Wall_CTNR Schedule'!$H$8:$H$40)-ROW('111 Wall_CTNR Schedule'!$H$8)+1),COLUMNS($D6:M6))),"")</f>
        <v/>
      </c>
    </row>
    <row r="7" spans="2:14" x14ac:dyDescent="0.2">
      <c r="B7" s="363"/>
      <c r="C7" s="328">
        <v>4</v>
      </c>
      <c r="D7" s="343">
        <v>46300</v>
      </c>
      <c r="E7" s="328" t="str" cm="1">
        <f t="array" ref="E7">IFERROR("CTN " &amp; INDEX('111 Wall_CTNR Schedule'!$E$8:$E$40,SMALL(IF(LEFT(SUBSTITUTE('111 Wall_CTNR Schedule'!$H$8:$H$40," ","")&amp;",",LEN($C7&amp;"")+1)=$C7&amp;",",ROW('111 Wall_CTNR Schedule'!$H$8:$H$40)-ROW('111 Wall_CTNR Schedule'!$H$8)+1),COLUMNS($D7:D7))),"")</f>
        <v>CTN 4</v>
      </c>
      <c r="F7" s="328" t="str" cm="1">
        <f t="array" ref="F7">IFERROR("CTN " &amp; INDEX('111 Wall_CTNR Schedule'!$E$8:$E$40,SMALL(IF(LEFT(SUBSTITUTE('111 Wall_CTNR Schedule'!$H$8:$H$40," ","")&amp;",",LEN($C7&amp;"")+1)=$C7&amp;",",ROW('111 Wall_CTNR Schedule'!$H$8:$H$40)-ROW('111 Wall_CTNR Schedule'!$H$8)+1),COLUMNS($D7:E7))),"")</f>
        <v>CTN 5</v>
      </c>
      <c r="G7" s="328" t="str" cm="1">
        <f t="array" ref="G7">IFERROR("CTN " &amp; INDEX('111 Wall_CTNR Schedule'!$E$8:$E$40,SMALL(IF(LEFT(SUBSTITUTE('111 Wall_CTNR Schedule'!$H$8:$H$40," ","")&amp;",",LEN($C7&amp;"")+1)=$C7&amp;",",ROW('111 Wall_CTNR Schedule'!$H$8:$H$40)-ROW('111 Wall_CTNR Schedule'!$H$8)+1),COLUMNS($D7:F7))),"")</f>
        <v>CTN 6</v>
      </c>
      <c r="H7" s="338" t="str" cm="1">
        <f t="array" ref="H7">IFERROR("CTN " &amp; INDEX('111 Wall_CTNR Schedule'!$E$8:$E$40,SMALL(IF(LEFT(SUBSTITUTE('111 Wall_CTNR Schedule'!$H$8:$H$40," ","")&amp;",",LEN($C7&amp;"")+1)=$C7&amp;",",ROW('111 Wall_CTNR Schedule'!$H$8:$H$40)-ROW('111 Wall_CTNR Schedule'!$H$8)+1),COLUMNS($D7:G7))),"")</f>
        <v/>
      </c>
      <c r="I7" t="str" cm="1">
        <f t="array" ref="I7">IFERROR("CTN " &amp; INDEX('111 Wall_CTNR Schedule'!$E$8:$E$40,SMALL(IF(LEFT(SUBSTITUTE('111 Wall_CTNR Schedule'!$H$8:$H$40," ","")&amp;",",LEN($C7&amp;"")+1)=$C7&amp;",",ROW('111 Wall_CTNR Schedule'!$H$8:$H$40)-ROW('111 Wall_CTNR Schedule'!$H$8)+1),COLUMNS($D7:H7))),"")</f>
        <v/>
      </c>
      <c r="J7" t="str" cm="1">
        <f t="array" ref="J7">IFERROR("CTN " &amp; INDEX('111 Wall_CTNR Schedule'!$E$8:$E$40,SMALL(IF(LEFT(SUBSTITUTE('111 Wall_CTNR Schedule'!$H$8:$H$40," ","")&amp;",",LEN($C7&amp;"")+1)=$C7&amp;",",ROW('111 Wall_CTNR Schedule'!$H$8:$H$40)-ROW('111 Wall_CTNR Schedule'!$H$8)+1),COLUMNS($D7:I7))),"")</f>
        <v/>
      </c>
      <c r="K7" t="str" cm="1">
        <f t="array" ref="K7">IFERROR("CTN " &amp; INDEX('111 Wall_CTNR Schedule'!$E$8:$E$40,SMALL(IF(LEFT(SUBSTITUTE('111 Wall_CTNR Schedule'!$H$8:$H$40," ","")&amp;",",LEN($C7&amp;"")+1)=$C7&amp;",",ROW('111 Wall_CTNR Schedule'!$H$8:$H$40)-ROW('111 Wall_CTNR Schedule'!$H$8)+1),COLUMNS($D7:J7))),"")</f>
        <v/>
      </c>
      <c r="L7" t="str" cm="1">
        <f t="array" ref="L7">IFERROR("CTN " &amp; INDEX('111 Wall_CTNR Schedule'!$E$8:$E$40,SMALL(IF(LEFT(SUBSTITUTE('111 Wall_CTNR Schedule'!$H$8:$H$40," ","")&amp;",",LEN($C7&amp;"")+1)=$C7&amp;",",ROW('111 Wall_CTNR Schedule'!$H$8:$H$40)-ROW('111 Wall_CTNR Schedule'!$H$8)+1),COLUMNS($D7:K7))),"")</f>
        <v/>
      </c>
      <c r="M7" t="str" cm="1">
        <f t="array" ref="M7">IFERROR("CTN " &amp; INDEX('111 Wall_CTNR Schedule'!$E$8:$E$40,SMALL(IF(LEFT(SUBSTITUTE('111 Wall_CTNR Schedule'!$H$8:$H$40," ","")&amp;",",LEN($C7&amp;"")+1)=$C7&amp;",",ROW('111 Wall_CTNR Schedule'!$H$8:$H$40)-ROW('111 Wall_CTNR Schedule'!$H$8)+1),COLUMNS($D7:L7))),"")</f>
        <v/>
      </c>
      <c r="N7" t="str" cm="1">
        <f t="array" ref="N7">IFERROR("CTN " &amp; INDEX('111 Wall_CTNR Schedule'!$E$8:$E$40,SMALL(IF(LEFT(SUBSTITUTE('111 Wall_CTNR Schedule'!$H$8:$H$40," ","")&amp;",",LEN($C7&amp;"")+1)=$C7&amp;",",ROW('111 Wall_CTNR Schedule'!$H$8:$H$40)-ROW('111 Wall_CTNR Schedule'!$H$8)+1),COLUMNS($D7:M7))),"")</f>
        <v/>
      </c>
    </row>
    <row r="8" spans="2:14" x14ac:dyDescent="0.2">
      <c r="B8" s="363"/>
      <c r="C8" s="328">
        <v>5</v>
      </c>
      <c r="D8" s="343">
        <v>46314</v>
      </c>
      <c r="E8" s="328" t="str" cm="1">
        <f t="array" ref="E8">IFERROR("CTN " &amp; INDEX('111 Wall_CTNR Schedule'!$E$8:$E$40,SMALL(IF(LEFT(SUBSTITUTE('111 Wall_CTNR Schedule'!$H$8:$H$40," ","")&amp;",",LEN($C8&amp;"")+1)=$C8&amp;",",ROW('111 Wall_CTNR Schedule'!$H$8:$H$40)-ROW('111 Wall_CTNR Schedule'!$H$8)+1),COLUMNS($D8:D8))),"")</f>
        <v>CTN 7</v>
      </c>
      <c r="F8" s="328" t="str" cm="1">
        <f t="array" ref="F8">IFERROR("CTN " &amp; INDEX('111 Wall_CTNR Schedule'!$E$8:$E$40,SMALL(IF(LEFT(SUBSTITUTE('111 Wall_CTNR Schedule'!$H$8:$H$40," ","")&amp;",",LEN($C8&amp;"")+1)=$C8&amp;",",ROW('111 Wall_CTNR Schedule'!$H$8:$H$40)-ROW('111 Wall_CTNR Schedule'!$H$8)+1),COLUMNS($D8:E8))),"")</f>
        <v>CTN 8</v>
      </c>
      <c r="G8" s="328" t="str" cm="1">
        <f t="array" ref="G8">IFERROR("CTN " &amp; INDEX('111 Wall_CTNR Schedule'!$E$8:$E$40,SMALL(IF(LEFT(SUBSTITUTE('111 Wall_CTNR Schedule'!$H$8:$H$40," ","")&amp;",",LEN($C8&amp;"")+1)=$C8&amp;",",ROW('111 Wall_CTNR Schedule'!$H$8:$H$40)-ROW('111 Wall_CTNR Schedule'!$H$8)+1),COLUMNS($D8:F8))),"")</f>
        <v>CTN 9</v>
      </c>
      <c r="H8" s="338" t="str" cm="1">
        <f t="array" ref="H8">IFERROR("CTN " &amp; INDEX('111 Wall_CTNR Schedule'!$E$8:$E$40,SMALL(IF(LEFT(SUBSTITUTE('111 Wall_CTNR Schedule'!$H$8:$H$40," ","")&amp;",",LEN($C8&amp;"")+1)=$C8&amp;",",ROW('111 Wall_CTNR Schedule'!$H$8:$H$40)-ROW('111 Wall_CTNR Schedule'!$H$8)+1),COLUMNS($D8:G8))),"")</f>
        <v>CTN 10</v>
      </c>
      <c r="I8" t="str" cm="1">
        <f t="array" ref="I8">IFERROR("CTN " &amp; INDEX('111 Wall_CTNR Schedule'!$E$8:$E$40,SMALL(IF(LEFT(SUBSTITUTE('111 Wall_CTNR Schedule'!$H$8:$H$40," ","")&amp;",",LEN($C8&amp;"")+1)=$C8&amp;",",ROW('111 Wall_CTNR Schedule'!$H$8:$H$40)-ROW('111 Wall_CTNR Schedule'!$H$8)+1),COLUMNS($D8:H8))),"")</f>
        <v/>
      </c>
      <c r="J8" t="str" cm="1">
        <f t="array" ref="J8">IFERROR("CTN " &amp; INDEX('111 Wall_CTNR Schedule'!$E$8:$E$40,SMALL(IF(LEFT(SUBSTITUTE('111 Wall_CTNR Schedule'!$H$8:$H$40," ","")&amp;",",LEN($C8&amp;"")+1)=$C8&amp;",",ROW('111 Wall_CTNR Schedule'!$H$8:$H$40)-ROW('111 Wall_CTNR Schedule'!$H$8)+1),COLUMNS($D8:I8))),"")</f>
        <v/>
      </c>
      <c r="K8" t="str" cm="1">
        <f t="array" ref="K8">IFERROR("CTN " &amp; INDEX('111 Wall_CTNR Schedule'!$E$8:$E$40,SMALL(IF(LEFT(SUBSTITUTE('111 Wall_CTNR Schedule'!$H$8:$H$40," ","")&amp;",",LEN($C8&amp;"")+1)=$C8&amp;",",ROW('111 Wall_CTNR Schedule'!$H$8:$H$40)-ROW('111 Wall_CTNR Schedule'!$H$8)+1),COLUMNS($D8:J8))),"")</f>
        <v/>
      </c>
      <c r="L8" t="str" cm="1">
        <f t="array" ref="L8">IFERROR("CTN " &amp; INDEX('111 Wall_CTNR Schedule'!$E$8:$E$40,SMALL(IF(LEFT(SUBSTITUTE('111 Wall_CTNR Schedule'!$H$8:$H$40," ","")&amp;",",LEN($C8&amp;"")+1)=$C8&amp;",",ROW('111 Wall_CTNR Schedule'!$H$8:$H$40)-ROW('111 Wall_CTNR Schedule'!$H$8)+1),COLUMNS($D8:K8))),"")</f>
        <v/>
      </c>
      <c r="M8" t="str" cm="1">
        <f t="array" ref="M8">IFERROR("CTN " &amp; INDEX('111 Wall_CTNR Schedule'!$E$8:$E$40,SMALL(IF(LEFT(SUBSTITUTE('111 Wall_CTNR Schedule'!$H$8:$H$40," ","")&amp;",",LEN($C8&amp;"")+1)=$C8&amp;",",ROW('111 Wall_CTNR Schedule'!$H$8:$H$40)-ROW('111 Wall_CTNR Schedule'!$H$8)+1),COLUMNS($D8:L8))),"")</f>
        <v/>
      </c>
      <c r="N8" t="str" cm="1">
        <f t="array" ref="N8">IFERROR("CTN " &amp; INDEX('111 Wall_CTNR Schedule'!$E$8:$E$40,SMALL(IF(LEFT(SUBSTITUTE('111 Wall_CTNR Schedule'!$H$8:$H$40," ","")&amp;",",LEN($C8&amp;"")+1)=$C8&amp;",",ROW('111 Wall_CTNR Schedule'!$H$8:$H$40)-ROW('111 Wall_CTNR Schedule'!$H$8)+1),COLUMNS($D8:M8))),"")</f>
        <v/>
      </c>
    </row>
    <row r="9" spans="2:14" x14ac:dyDescent="0.2">
      <c r="B9" s="363"/>
      <c r="C9" s="328">
        <v>6</v>
      </c>
      <c r="D9" s="343">
        <v>46328</v>
      </c>
      <c r="E9" s="328" t="str" cm="1">
        <f t="array" ref="E9">IFERROR("CTN " &amp; INDEX('111 Wall_CTNR Schedule'!$E$8:$E$40,SMALL(IF(LEFT(SUBSTITUTE('111 Wall_CTNR Schedule'!$H$8:$H$40," ","")&amp;",",LEN($C9&amp;"")+1)=$C9&amp;",",ROW('111 Wall_CTNR Schedule'!$H$8:$H$40)-ROW('111 Wall_CTNR Schedule'!$H$8)+1),COLUMNS($D9:D9))),"")</f>
        <v>CTN 11</v>
      </c>
      <c r="F9" s="328" t="str" cm="1">
        <f t="array" ref="F9">IFERROR("CTN " &amp; INDEX('111 Wall_CTNR Schedule'!$E$8:$E$40,SMALL(IF(LEFT(SUBSTITUTE('111 Wall_CTNR Schedule'!$H$8:$H$40," ","")&amp;",",LEN($C9&amp;"")+1)=$C9&amp;",",ROW('111 Wall_CTNR Schedule'!$H$8:$H$40)-ROW('111 Wall_CTNR Schedule'!$H$8)+1),COLUMNS($D9:E9))),"")</f>
        <v>CTN 12</v>
      </c>
      <c r="G9" s="328" t="str" cm="1">
        <f t="array" ref="G9">IFERROR("CTN " &amp; INDEX('111 Wall_CTNR Schedule'!$E$8:$E$40,SMALL(IF(LEFT(SUBSTITUTE('111 Wall_CTNR Schedule'!$H$8:$H$40," ","")&amp;",",LEN($C9&amp;"")+1)=$C9&amp;",",ROW('111 Wall_CTNR Schedule'!$H$8:$H$40)-ROW('111 Wall_CTNR Schedule'!$H$8)+1),COLUMNS($D9:F9))),"")</f>
        <v>CTN 13</v>
      </c>
      <c r="H9" s="338" t="str" cm="1">
        <f t="array" ref="H9">IFERROR("CTN " &amp; INDEX('111 Wall_CTNR Schedule'!$E$8:$E$40,SMALL(IF(LEFT(SUBSTITUTE('111 Wall_CTNR Schedule'!$H$8:$H$40," ","")&amp;",",LEN($C9&amp;"")+1)=$C9&amp;",",ROW('111 Wall_CTNR Schedule'!$H$8:$H$40)-ROW('111 Wall_CTNR Schedule'!$H$8)+1),COLUMNS($D9:G9))),"")</f>
        <v/>
      </c>
      <c r="I9" t="str" cm="1">
        <f t="array" ref="I9">IFERROR("CTN " &amp; INDEX('111 Wall_CTNR Schedule'!$E$8:$E$40,SMALL(IF(LEFT(SUBSTITUTE('111 Wall_CTNR Schedule'!$H$8:$H$40," ","")&amp;",",LEN($C9&amp;"")+1)=$C9&amp;",",ROW('111 Wall_CTNR Schedule'!$H$8:$H$40)-ROW('111 Wall_CTNR Schedule'!$H$8)+1),COLUMNS($D9:H9))),"")</f>
        <v/>
      </c>
      <c r="J9" t="str" cm="1">
        <f t="array" ref="J9">IFERROR("CTN " &amp; INDEX('111 Wall_CTNR Schedule'!$E$8:$E$40,SMALL(IF(LEFT(SUBSTITUTE('111 Wall_CTNR Schedule'!$H$8:$H$40," ","")&amp;",",LEN($C9&amp;"")+1)=$C9&amp;",",ROW('111 Wall_CTNR Schedule'!$H$8:$H$40)-ROW('111 Wall_CTNR Schedule'!$H$8)+1),COLUMNS($D9:I9))),"")</f>
        <v/>
      </c>
      <c r="K9" t="str" cm="1">
        <f t="array" ref="K9">IFERROR("CTN " &amp; INDEX('111 Wall_CTNR Schedule'!$E$8:$E$40,SMALL(IF(LEFT(SUBSTITUTE('111 Wall_CTNR Schedule'!$H$8:$H$40," ","")&amp;",",LEN($C9&amp;"")+1)=$C9&amp;",",ROW('111 Wall_CTNR Schedule'!$H$8:$H$40)-ROW('111 Wall_CTNR Schedule'!$H$8)+1),COLUMNS($D9:J9))),"")</f>
        <v/>
      </c>
      <c r="L9" t="str" cm="1">
        <f t="array" ref="L9">IFERROR("CTN " &amp; INDEX('111 Wall_CTNR Schedule'!$E$8:$E$40,SMALL(IF(LEFT(SUBSTITUTE('111 Wall_CTNR Schedule'!$H$8:$H$40," ","")&amp;",",LEN($C9&amp;"")+1)=$C9&amp;",",ROW('111 Wall_CTNR Schedule'!$H$8:$H$40)-ROW('111 Wall_CTNR Schedule'!$H$8)+1),COLUMNS($D9:K9))),"")</f>
        <v/>
      </c>
      <c r="M9" t="str" cm="1">
        <f t="array" ref="M9">IFERROR("CTN " &amp; INDEX('111 Wall_CTNR Schedule'!$E$8:$E$40,SMALL(IF(LEFT(SUBSTITUTE('111 Wall_CTNR Schedule'!$H$8:$H$40," ","")&amp;",",LEN($C9&amp;"")+1)=$C9&amp;",",ROW('111 Wall_CTNR Schedule'!$H$8:$H$40)-ROW('111 Wall_CTNR Schedule'!$H$8)+1),COLUMNS($D9:L9))),"")</f>
        <v/>
      </c>
      <c r="N9" t="str" cm="1">
        <f t="array" ref="N9">IFERROR("CTN " &amp; INDEX('111 Wall_CTNR Schedule'!$E$8:$E$40,SMALL(IF(LEFT(SUBSTITUTE('111 Wall_CTNR Schedule'!$H$8:$H$40," ","")&amp;",",LEN($C9&amp;"")+1)=$C9&amp;",",ROW('111 Wall_CTNR Schedule'!$H$8:$H$40)-ROW('111 Wall_CTNR Schedule'!$H$8)+1),COLUMNS($D9:M9))),"")</f>
        <v/>
      </c>
    </row>
    <row r="10" spans="2:14" x14ac:dyDescent="0.2">
      <c r="B10" s="363"/>
      <c r="C10" s="328">
        <v>7</v>
      </c>
      <c r="D10" s="343">
        <v>46342</v>
      </c>
      <c r="E10" s="328" t="str" cm="1">
        <f t="array" ref="E10">IFERROR("CTN " &amp; INDEX('111 Wall_CTNR Schedule'!$E$8:$E$40,SMALL(IF(LEFT(SUBSTITUTE('111 Wall_CTNR Schedule'!$H$8:$H$40," ","")&amp;",",LEN($C10&amp;"")+1)=$C10&amp;",",ROW('111 Wall_CTNR Schedule'!$H$8:$H$40)-ROW('111 Wall_CTNR Schedule'!$H$8)+1),COLUMNS($D10:D10))),"")</f>
        <v>CTN 14</v>
      </c>
      <c r="F10" s="328" t="str" cm="1">
        <f t="array" ref="F10">IFERROR("CTN " &amp; INDEX('111 Wall_CTNR Schedule'!$E$8:$E$40,SMALL(IF(LEFT(SUBSTITUTE('111 Wall_CTNR Schedule'!$H$8:$H$40," ","")&amp;",",LEN($C10&amp;"")+1)=$C10&amp;",",ROW('111 Wall_CTNR Schedule'!$H$8:$H$40)-ROW('111 Wall_CTNR Schedule'!$H$8)+1),COLUMNS($D10:E10))),"")</f>
        <v>CTN 15</v>
      </c>
      <c r="G10" s="328" t="str" cm="1">
        <f t="array" ref="G10">IFERROR("CTN " &amp; INDEX('111 Wall_CTNR Schedule'!$E$8:$E$40,SMALL(IF(LEFT(SUBSTITUTE('111 Wall_CTNR Schedule'!$H$8:$H$40," ","")&amp;",",LEN($C10&amp;"")+1)=$C10&amp;",",ROW('111 Wall_CTNR Schedule'!$H$8:$H$40)-ROW('111 Wall_CTNR Schedule'!$H$8)+1),COLUMNS($D10:F10))),"")</f>
        <v>CTN 16</v>
      </c>
      <c r="H10" s="338" t="str" cm="1">
        <f t="array" ref="H10">IFERROR("CTN " &amp; INDEX('111 Wall_CTNR Schedule'!$E$8:$E$40,SMALL(IF(LEFT(SUBSTITUTE('111 Wall_CTNR Schedule'!$H$8:$H$40," ","")&amp;",",LEN($C10&amp;"")+1)=$C10&amp;",",ROW('111 Wall_CTNR Schedule'!$H$8:$H$40)-ROW('111 Wall_CTNR Schedule'!$H$8)+1),COLUMNS($D10:G10))),"")</f>
        <v/>
      </c>
      <c r="I10" t="str" cm="1">
        <f t="array" ref="I10">IFERROR("CTN " &amp; INDEX('111 Wall_CTNR Schedule'!$E$8:$E$40,SMALL(IF(LEFT(SUBSTITUTE('111 Wall_CTNR Schedule'!$H$8:$H$40," ","")&amp;",",LEN($C10&amp;"")+1)=$C10&amp;",",ROW('111 Wall_CTNR Schedule'!$H$8:$H$40)-ROW('111 Wall_CTNR Schedule'!$H$8)+1),COLUMNS($D10:H10))),"")</f>
        <v/>
      </c>
      <c r="J10" t="str" cm="1">
        <f t="array" ref="J10">IFERROR("CTN " &amp; INDEX('111 Wall_CTNR Schedule'!$E$8:$E$40,SMALL(IF(LEFT(SUBSTITUTE('111 Wall_CTNR Schedule'!$H$8:$H$40," ","")&amp;",",LEN($C10&amp;"")+1)=$C10&amp;",",ROW('111 Wall_CTNR Schedule'!$H$8:$H$40)-ROW('111 Wall_CTNR Schedule'!$H$8)+1),COLUMNS($D10:I10))),"")</f>
        <v/>
      </c>
      <c r="K10" t="str" cm="1">
        <f t="array" ref="K10">IFERROR("CTN " &amp; INDEX('111 Wall_CTNR Schedule'!$E$8:$E$40,SMALL(IF(LEFT(SUBSTITUTE('111 Wall_CTNR Schedule'!$H$8:$H$40," ","")&amp;",",LEN($C10&amp;"")+1)=$C10&amp;",",ROW('111 Wall_CTNR Schedule'!$H$8:$H$40)-ROW('111 Wall_CTNR Schedule'!$H$8)+1),COLUMNS($D10:J10))),"")</f>
        <v/>
      </c>
      <c r="L10" t="str" cm="1">
        <f t="array" ref="L10">IFERROR("CTN " &amp; INDEX('111 Wall_CTNR Schedule'!$E$8:$E$40,SMALL(IF(LEFT(SUBSTITUTE('111 Wall_CTNR Schedule'!$H$8:$H$40," ","")&amp;",",LEN($C10&amp;"")+1)=$C10&amp;",",ROW('111 Wall_CTNR Schedule'!$H$8:$H$40)-ROW('111 Wall_CTNR Schedule'!$H$8)+1),COLUMNS($D10:K10))),"")</f>
        <v/>
      </c>
      <c r="M10" t="str" cm="1">
        <f t="array" ref="M10">IFERROR("CTN " &amp; INDEX('111 Wall_CTNR Schedule'!$E$8:$E$40,SMALL(IF(LEFT(SUBSTITUTE('111 Wall_CTNR Schedule'!$H$8:$H$40," ","")&amp;",",LEN($C10&amp;"")+1)=$C10&amp;",",ROW('111 Wall_CTNR Schedule'!$H$8:$H$40)-ROW('111 Wall_CTNR Schedule'!$H$8)+1),COLUMNS($D10:L10))),"")</f>
        <v/>
      </c>
      <c r="N10" t="str" cm="1">
        <f t="array" ref="N10">IFERROR("CTN " &amp; INDEX('111 Wall_CTNR Schedule'!$E$8:$E$40,SMALL(IF(LEFT(SUBSTITUTE('111 Wall_CTNR Schedule'!$H$8:$H$40," ","")&amp;",",LEN($C10&amp;"")+1)=$C10&amp;",",ROW('111 Wall_CTNR Schedule'!$H$8:$H$40)-ROW('111 Wall_CTNR Schedule'!$H$8)+1),COLUMNS($D10:M10))),"")</f>
        <v/>
      </c>
    </row>
    <row r="11" spans="2:14" x14ac:dyDescent="0.2">
      <c r="B11" s="363"/>
      <c r="C11" s="328">
        <v>8</v>
      </c>
      <c r="D11" s="343">
        <v>46356</v>
      </c>
      <c r="E11" s="328" t="str" cm="1">
        <f t="array" ref="E11">IFERROR("CTN " &amp; INDEX('111 Wall_CTNR Schedule'!$E$8:$E$40,SMALL(IF(LEFT(SUBSTITUTE('111 Wall_CTNR Schedule'!$H$8:$H$40," ","")&amp;",",LEN($C11&amp;"")+1)=$C11&amp;",",ROW('111 Wall_CTNR Schedule'!$H$8:$H$40)-ROW('111 Wall_CTNR Schedule'!$H$8)+1),COLUMNS($D11:D11))),"")</f>
        <v>CTN 17</v>
      </c>
      <c r="F11" s="328" t="str" cm="1">
        <f t="array" ref="F11">IFERROR("CTN " &amp; INDEX('111 Wall_CTNR Schedule'!$E$8:$E$40,SMALL(IF(LEFT(SUBSTITUTE('111 Wall_CTNR Schedule'!$H$8:$H$40," ","")&amp;",",LEN($C11&amp;"")+1)=$C11&amp;",",ROW('111 Wall_CTNR Schedule'!$H$8:$H$40)-ROW('111 Wall_CTNR Schedule'!$H$8)+1),COLUMNS($D11:E11))),"")</f>
        <v>CTN 18</v>
      </c>
      <c r="G11" s="328" t="str" cm="1">
        <f t="array" ref="G11">IFERROR("CTN " &amp; INDEX('111 Wall_CTNR Schedule'!$E$8:$E$40,SMALL(IF(LEFT(SUBSTITUTE('111 Wall_CTNR Schedule'!$H$8:$H$40," ","")&amp;",",LEN($C11&amp;"")+1)=$C11&amp;",",ROW('111 Wall_CTNR Schedule'!$H$8:$H$40)-ROW('111 Wall_CTNR Schedule'!$H$8)+1),COLUMNS($D11:F11))),"")</f>
        <v>CTN 19</v>
      </c>
      <c r="H11" s="338" t="str" cm="1">
        <f t="array" ref="H11">IFERROR("CTN " &amp; INDEX('111 Wall_CTNR Schedule'!$E$8:$E$40,SMALL(IF(LEFT(SUBSTITUTE('111 Wall_CTNR Schedule'!$H$8:$H$40," ","")&amp;",",LEN($C11&amp;"")+1)=$C11&amp;",",ROW('111 Wall_CTNR Schedule'!$H$8:$H$40)-ROW('111 Wall_CTNR Schedule'!$H$8)+1),COLUMNS($D11:G11))),"")</f>
        <v/>
      </c>
      <c r="I11" t="str" cm="1">
        <f t="array" ref="I11">IFERROR("CTN " &amp; INDEX('111 Wall_CTNR Schedule'!$E$8:$E$40,SMALL(IF(LEFT(SUBSTITUTE('111 Wall_CTNR Schedule'!$H$8:$H$40," ","")&amp;",",LEN($C11&amp;"")+1)=$C11&amp;",",ROW('111 Wall_CTNR Schedule'!$H$8:$H$40)-ROW('111 Wall_CTNR Schedule'!$H$8)+1),COLUMNS($D11:H11))),"")</f>
        <v/>
      </c>
      <c r="J11" t="str" cm="1">
        <f t="array" ref="J11">IFERROR("CTN " &amp; INDEX('111 Wall_CTNR Schedule'!$E$8:$E$40,SMALL(IF(LEFT(SUBSTITUTE('111 Wall_CTNR Schedule'!$H$8:$H$40," ","")&amp;",",LEN($C11&amp;"")+1)=$C11&amp;",",ROW('111 Wall_CTNR Schedule'!$H$8:$H$40)-ROW('111 Wall_CTNR Schedule'!$H$8)+1),COLUMNS($D11:I11))),"")</f>
        <v/>
      </c>
      <c r="K11" t="str" cm="1">
        <f t="array" ref="K11">IFERROR("CTN " &amp; INDEX('111 Wall_CTNR Schedule'!$E$8:$E$40,SMALL(IF(LEFT(SUBSTITUTE('111 Wall_CTNR Schedule'!$H$8:$H$40," ","")&amp;",",LEN($C11&amp;"")+1)=$C11&amp;",",ROW('111 Wall_CTNR Schedule'!$H$8:$H$40)-ROW('111 Wall_CTNR Schedule'!$H$8)+1),COLUMNS($D11:J11))),"")</f>
        <v/>
      </c>
      <c r="L11" t="str" cm="1">
        <f t="array" ref="L11">IFERROR("CTN " &amp; INDEX('111 Wall_CTNR Schedule'!$E$8:$E$40,SMALL(IF(LEFT(SUBSTITUTE('111 Wall_CTNR Schedule'!$H$8:$H$40," ","")&amp;",",LEN($C11&amp;"")+1)=$C11&amp;",",ROW('111 Wall_CTNR Schedule'!$H$8:$H$40)-ROW('111 Wall_CTNR Schedule'!$H$8)+1),COLUMNS($D11:K11))),"")</f>
        <v/>
      </c>
      <c r="M11" t="str" cm="1">
        <f t="array" ref="M11">IFERROR("CTN " &amp; INDEX('111 Wall_CTNR Schedule'!$E$8:$E$40,SMALL(IF(LEFT(SUBSTITUTE('111 Wall_CTNR Schedule'!$H$8:$H$40," ","")&amp;",",LEN($C11&amp;"")+1)=$C11&amp;",",ROW('111 Wall_CTNR Schedule'!$H$8:$H$40)-ROW('111 Wall_CTNR Schedule'!$H$8)+1),COLUMNS($D11:L11))),"")</f>
        <v/>
      </c>
      <c r="N11" t="str" cm="1">
        <f t="array" ref="N11">IFERROR("CTN " &amp; INDEX('111 Wall_CTNR Schedule'!$E$8:$E$40,SMALL(IF(LEFT(SUBSTITUTE('111 Wall_CTNR Schedule'!$H$8:$H$40," ","")&amp;",",LEN($C11&amp;"")+1)=$C11&amp;",",ROW('111 Wall_CTNR Schedule'!$H$8:$H$40)-ROW('111 Wall_CTNR Schedule'!$H$8)+1),COLUMNS($D11:M11))),"")</f>
        <v/>
      </c>
    </row>
    <row r="12" spans="2:14" x14ac:dyDescent="0.2">
      <c r="B12" s="363"/>
      <c r="C12" s="328">
        <v>9</v>
      </c>
      <c r="D12" s="343">
        <v>46370</v>
      </c>
      <c r="E12" s="328" t="str" cm="1">
        <f t="array" ref="E12">IFERROR("CTN " &amp; INDEX('111 Wall_CTNR Schedule'!$E$8:$E$40,SMALL(IF(LEFT(SUBSTITUTE('111 Wall_CTNR Schedule'!$H$8:$H$40," ","")&amp;",",LEN($C12&amp;"")+1)=$C12&amp;",",ROW('111 Wall_CTNR Schedule'!$H$8:$H$40)-ROW('111 Wall_CTNR Schedule'!$H$8)+1),COLUMNS($D12:D12))),"")</f>
        <v>CTN 20</v>
      </c>
      <c r="F12" s="328" t="str" cm="1">
        <f t="array" ref="F12">IFERROR("CTN " &amp; INDEX('111 Wall_CTNR Schedule'!$E$8:$E$40,SMALL(IF(LEFT(SUBSTITUTE('111 Wall_CTNR Schedule'!$H$8:$H$40," ","")&amp;",",LEN($C12&amp;"")+1)=$C12&amp;",",ROW('111 Wall_CTNR Schedule'!$H$8:$H$40)-ROW('111 Wall_CTNR Schedule'!$H$8)+1),COLUMNS($D12:E12))),"")</f>
        <v>CTN 21</v>
      </c>
      <c r="G12" s="328" t="str" cm="1">
        <f t="array" ref="G12">IFERROR("CTN " &amp; INDEX('111 Wall_CTNR Schedule'!$E$8:$E$40,SMALL(IF(LEFT(SUBSTITUTE('111 Wall_CTNR Schedule'!$H$8:$H$40," ","")&amp;",",LEN($C12&amp;"")+1)=$C12&amp;",",ROW('111 Wall_CTNR Schedule'!$H$8:$H$40)-ROW('111 Wall_CTNR Schedule'!$H$8)+1),COLUMNS($D12:F12))),"")</f>
        <v>CTN 22</v>
      </c>
      <c r="H12" s="338" t="str" cm="1">
        <f t="array" ref="H12">IFERROR("CTN " &amp; INDEX('111 Wall_CTNR Schedule'!$E$8:$E$40,SMALL(IF(LEFT(SUBSTITUTE('111 Wall_CTNR Schedule'!$H$8:$H$40," ","")&amp;",",LEN($C12&amp;"")+1)=$C12&amp;",",ROW('111 Wall_CTNR Schedule'!$H$8:$H$40)-ROW('111 Wall_CTNR Schedule'!$H$8)+1),COLUMNS($D12:G12))),"")</f>
        <v/>
      </c>
      <c r="I12" t="str" cm="1">
        <f t="array" ref="I12">IFERROR("CTN " &amp; INDEX('111 Wall_CTNR Schedule'!$E$8:$E$40,SMALL(IF(LEFT(SUBSTITUTE('111 Wall_CTNR Schedule'!$H$8:$H$40," ","")&amp;",",LEN($C12&amp;"")+1)=$C12&amp;",",ROW('111 Wall_CTNR Schedule'!$H$8:$H$40)-ROW('111 Wall_CTNR Schedule'!$H$8)+1),COLUMNS($D12:H12))),"")</f>
        <v/>
      </c>
      <c r="J12" t="str" cm="1">
        <f t="array" ref="J12">IFERROR("CTN " &amp; INDEX('111 Wall_CTNR Schedule'!$E$8:$E$40,SMALL(IF(LEFT(SUBSTITUTE('111 Wall_CTNR Schedule'!$H$8:$H$40," ","")&amp;",",LEN($C12&amp;"")+1)=$C12&amp;",",ROW('111 Wall_CTNR Schedule'!$H$8:$H$40)-ROW('111 Wall_CTNR Schedule'!$H$8)+1),COLUMNS($D12:I12))),"")</f>
        <v/>
      </c>
      <c r="K12" t="str" cm="1">
        <f t="array" ref="K12">IFERROR("CTN " &amp; INDEX('111 Wall_CTNR Schedule'!$E$8:$E$40,SMALL(IF(LEFT(SUBSTITUTE('111 Wall_CTNR Schedule'!$H$8:$H$40," ","")&amp;",",LEN($C12&amp;"")+1)=$C12&amp;",",ROW('111 Wall_CTNR Schedule'!$H$8:$H$40)-ROW('111 Wall_CTNR Schedule'!$H$8)+1),COLUMNS($D12:J12))),"")</f>
        <v/>
      </c>
      <c r="L12" t="str" cm="1">
        <f t="array" ref="L12">IFERROR("CTN " &amp; INDEX('111 Wall_CTNR Schedule'!$E$8:$E$40,SMALL(IF(LEFT(SUBSTITUTE('111 Wall_CTNR Schedule'!$H$8:$H$40," ","")&amp;",",LEN($C12&amp;"")+1)=$C12&amp;",",ROW('111 Wall_CTNR Schedule'!$H$8:$H$40)-ROW('111 Wall_CTNR Schedule'!$H$8)+1),COLUMNS($D12:K12))),"")</f>
        <v/>
      </c>
      <c r="M12" t="str" cm="1">
        <f t="array" ref="M12">IFERROR("CTN " &amp; INDEX('111 Wall_CTNR Schedule'!$E$8:$E$40,SMALL(IF(LEFT(SUBSTITUTE('111 Wall_CTNR Schedule'!$H$8:$H$40," ","")&amp;",",LEN($C12&amp;"")+1)=$C12&amp;",",ROW('111 Wall_CTNR Schedule'!$H$8:$H$40)-ROW('111 Wall_CTNR Schedule'!$H$8)+1),COLUMNS($D12:L12))),"")</f>
        <v/>
      </c>
      <c r="N12" t="str" cm="1">
        <f t="array" ref="N12">IFERROR("CTN " &amp; INDEX('111 Wall_CTNR Schedule'!$E$8:$E$40,SMALL(IF(LEFT(SUBSTITUTE('111 Wall_CTNR Schedule'!$H$8:$H$40," ","")&amp;",",LEN($C12&amp;"")+1)=$C12&amp;",",ROW('111 Wall_CTNR Schedule'!$H$8:$H$40)-ROW('111 Wall_CTNR Schedule'!$H$8)+1),COLUMNS($D12:M12))),"")</f>
        <v/>
      </c>
    </row>
    <row r="13" spans="2:14" ht="15" thickBot="1" x14ac:dyDescent="0.25">
      <c r="B13" s="364"/>
      <c r="C13" s="339">
        <v>10</v>
      </c>
      <c r="D13" s="344">
        <v>46384</v>
      </c>
      <c r="E13" s="339" t="str" cm="1">
        <f t="array" ref="E13">IFERROR("CTN " &amp; INDEX('111 Wall_CTNR Schedule'!$E$8:$E$40,SMALL(IF(LEFT(SUBSTITUTE('111 Wall_CTNR Schedule'!$H$8:$H$40," ","")&amp;",",LEN($C13&amp;"")+1)=$C13&amp;",",ROW('111 Wall_CTNR Schedule'!$H$8:$H$40)-ROW('111 Wall_CTNR Schedule'!$H$8)+1),COLUMNS($D13:D13))),"")</f>
        <v>CTN 23</v>
      </c>
      <c r="F13" s="339" t="str" cm="1">
        <f t="array" ref="F13">IFERROR("CTN " &amp; INDEX('111 Wall_CTNR Schedule'!$E$8:$E$40,SMALL(IF(LEFT(SUBSTITUTE('111 Wall_CTNR Schedule'!$H$8:$H$40," ","")&amp;",",LEN($C13&amp;"")+1)=$C13&amp;",",ROW('111 Wall_CTNR Schedule'!$H$8:$H$40)-ROW('111 Wall_CTNR Schedule'!$H$8)+1),COLUMNS($D13:E13))),"")</f>
        <v>CTN 24</v>
      </c>
      <c r="G13" s="339" t="str" cm="1">
        <f t="array" ref="G13">IFERROR("CTN " &amp; INDEX('111 Wall_CTNR Schedule'!$E$8:$E$40,SMALL(IF(LEFT(SUBSTITUTE('111 Wall_CTNR Schedule'!$H$8:$H$40," ","")&amp;",",LEN($C13&amp;"")+1)=$C13&amp;",",ROW('111 Wall_CTNR Schedule'!$H$8:$H$40)-ROW('111 Wall_CTNR Schedule'!$H$8)+1),COLUMNS($D13:F13))),"")</f>
        <v>CTN 25</v>
      </c>
      <c r="H13" s="341" t="str" cm="1">
        <f t="array" ref="H13">IFERROR("CTN " &amp; INDEX('111 Wall_CTNR Schedule'!$E$8:$E$40,SMALL(IF(LEFT(SUBSTITUTE('111 Wall_CTNR Schedule'!$H$8:$H$40," ","")&amp;",",LEN($C13&amp;"")+1)=$C13&amp;",",ROW('111 Wall_CTNR Schedule'!$H$8:$H$40)-ROW('111 Wall_CTNR Schedule'!$H$8)+1),COLUMNS($D13:G13))),"")</f>
        <v>CTN 26</v>
      </c>
      <c r="I13" t="str" cm="1">
        <f t="array" ref="I13">IFERROR("CTN " &amp; INDEX('111 Wall_CTNR Schedule'!$E$8:$E$40,SMALL(IF(LEFT(SUBSTITUTE('111 Wall_CTNR Schedule'!$H$8:$H$40," ","")&amp;",",LEN($C13&amp;"")+1)=$C13&amp;",",ROW('111 Wall_CTNR Schedule'!$H$8:$H$40)-ROW('111 Wall_CTNR Schedule'!$H$8)+1),COLUMNS($D13:H13))),"")</f>
        <v/>
      </c>
      <c r="J13" t="str" cm="1">
        <f t="array" ref="J13">IFERROR("CTN " &amp; INDEX('111 Wall_CTNR Schedule'!$E$8:$E$40,SMALL(IF(LEFT(SUBSTITUTE('111 Wall_CTNR Schedule'!$H$8:$H$40," ","")&amp;",",LEN($C13&amp;"")+1)=$C13&amp;",",ROW('111 Wall_CTNR Schedule'!$H$8:$H$40)-ROW('111 Wall_CTNR Schedule'!$H$8)+1),COLUMNS($D13:I13))),"")</f>
        <v/>
      </c>
      <c r="K13" t="str" cm="1">
        <f t="array" ref="K13">IFERROR("CTN " &amp; INDEX('111 Wall_CTNR Schedule'!$E$8:$E$40,SMALL(IF(LEFT(SUBSTITUTE('111 Wall_CTNR Schedule'!$H$8:$H$40," ","")&amp;",",LEN($C13&amp;"")+1)=$C13&amp;",",ROW('111 Wall_CTNR Schedule'!$H$8:$H$40)-ROW('111 Wall_CTNR Schedule'!$H$8)+1),COLUMNS($D13:J13))),"")</f>
        <v/>
      </c>
      <c r="L13" t="str" cm="1">
        <f t="array" ref="L13">IFERROR("CTN " &amp; INDEX('111 Wall_CTNR Schedule'!$E$8:$E$40,SMALL(IF(LEFT(SUBSTITUTE('111 Wall_CTNR Schedule'!$H$8:$H$40," ","")&amp;",",LEN($C13&amp;"")+1)=$C13&amp;",",ROW('111 Wall_CTNR Schedule'!$H$8:$H$40)-ROW('111 Wall_CTNR Schedule'!$H$8)+1),COLUMNS($D13:K13))),"")</f>
        <v/>
      </c>
      <c r="M13" t="str" cm="1">
        <f t="array" ref="M13">IFERROR("CTN " &amp; INDEX('111 Wall_CTNR Schedule'!$E$8:$E$40,SMALL(IF(LEFT(SUBSTITUTE('111 Wall_CTNR Schedule'!$H$8:$H$40," ","")&amp;",",LEN($C13&amp;"")+1)=$C13&amp;",",ROW('111 Wall_CTNR Schedule'!$H$8:$H$40)-ROW('111 Wall_CTNR Schedule'!$H$8)+1),COLUMNS($D13:L13))),"")</f>
        <v/>
      </c>
      <c r="N13" t="str" cm="1">
        <f t="array" ref="N13">IFERROR("CTN " &amp; INDEX('111 Wall_CTNR Schedule'!$E$8:$E$40,SMALL(IF(LEFT(SUBSTITUTE('111 Wall_CTNR Schedule'!$H$8:$H$40," ","")&amp;",",LEN($C13&amp;"")+1)=$C13&amp;",",ROW('111 Wall_CTNR Schedule'!$H$8:$H$40)-ROW('111 Wall_CTNR Schedule'!$H$8)+1),COLUMNS($D13:M13))),"")</f>
        <v/>
      </c>
    </row>
    <row r="14" spans="2:14" x14ac:dyDescent="0.2">
      <c r="B14" s="365" t="s">
        <v>104</v>
      </c>
      <c r="C14" s="335">
        <v>11</v>
      </c>
      <c r="D14" s="342">
        <v>46398</v>
      </c>
      <c r="E14" s="335" t="str" cm="1">
        <f t="array" ref="E14">IFERROR("CTN " &amp; INDEX('111 Wall_CTNR Schedule'!$E$8:$E$40,SMALL(IF(LEFT(SUBSTITUTE('111 Wall_CTNR Schedule'!$H$8:$H$40," ","")&amp;",",LEN($C14&amp;"")+1)=$C14&amp;",",ROW('111 Wall_CTNR Schedule'!$H$8:$H$40)-ROW('111 Wall_CTNR Schedule'!$H$8)+1),COLUMNS($D14:D14))),"")</f>
        <v>CTN 27</v>
      </c>
      <c r="F14" s="335" t="str" cm="1">
        <f t="array" ref="F14">IFERROR("CTN " &amp; INDEX('111 Wall_CTNR Schedule'!$E$8:$E$40,SMALL(IF(LEFT(SUBSTITUTE('111 Wall_CTNR Schedule'!$H$8:$H$40," ","")&amp;",",LEN($C14&amp;"")+1)=$C14&amp;",",ROW('111 Wall_CTNR Schedule'!$H$8:$H$40)-ROW('111 Wall_CTNR Schedule'!$H$8)+1),COLUMNS($D14:E14))),"")</f>
        <v>CTN 28</v>
      </c>
      <c r="G14" s="335" t="str" cm="1">
        <f t="array" ref="G14">IFERROR("CTN " &amp; INDEX('111 Wall_CTNR Schedule'!$E$8:$E$40,SMALL(IF(LEFT(SUBSTITUTE('111 Wall_CTNR Schedule'!$H$8:$H$40," ","")&amp;",",LEN($C14&amp;"")+1)=$C14&amp;",",ROW('111 Wall_CTNR Schedule'!$H$8:$H$40)-ROW('111 Wall_CTNR Schedule'!$H$8)+1),COLUMNS($D14:F14))),"")</f>
        <v>CTN 29</v>
      </c>
      <c r="H14" s="337" t="str" cm="1">
        <f t="array" ref="H14">IFERROR("CTN " &amp; INDEX('111 Wall_CTNR Schedule'!$E$8:$E$40,SMALL(IF(LEFT(SUBSTITUTE('111 Wall_CTNR Schedule'!$H$8:$H$40," ","")&amp;",",LEN($C14&amp;"")+1)=$C14&amp;",",ROW('111 Wall_CTNR Schedule'!$H$8:$H$40)-ROW('111 Wall_CTNR Schedule'!$H$8)+1),COLUMNS($D14:G14))),"")</f>
        <v/>
      </c>
      <c r="I14" t="str" cm="1">
        <f t="array" ref="I14">IFERROR("CTN " &amp; INDEX('111 Wall_CTNR Schedule'!$E$8:$E$40,SMALL(IF(LEFT(SUBSTITUTE('111 Wall_CTNR Schedule'!$H$8:$H$40," ","")&amp;",",LEN($C14&amp;"")+1)=$C14&amp;",",ROW('111 Wall_CTNR Schedule'!$H$8:$H$40)-ROW('111 Wall_CTNR Schedule'!$H$8)+1),COLUMNS($D14:H14))),"")</f>
        <v/>
      </c>
      <c r="J14" t="str" cm="1">
        <f t="array" ref="J14">IFERROR("CTN " &amp; INDEX('111 Wall_CTNR Schedule'!$E$8:$E$40,SMALL(IF(LEFT(SUBSTITUTE('111 Wall_CTNR Schedule'!$H$8:$H$40," ","")&amp;",",LEN($C14&amp;"")+1)=$C14&amp;",",ROW('111 Wall_CTNR Schedule'!$H$8:$H$40)-ROW('111 Wall_CTNR Schedule'!$H$8)+1),COLUMNS($D14:I14))),"")</f>
        <v/>
      </c>
      <c r="K14" t="str" cm="1">
        <f t="array" ref="K14">IFERROR("CTN " &amp; INDEX('111 Wall_CTNR Schedule'!$E$8:$E$40,SMALL(IF(LEFT(SUBSTITUTE('111 Wall_CTNR Schedule'!$H$8:$H$40," ","")&amp;",",LEN($C14&amp;"")+1)=$C14&amp;",",ROW('111 Wall_CTNR Schedule'!$H$8:$H$40)-ROW('111 Wall_CTNR Schedule'!$H$8)+1),COLUMNS($D14:J14))),"")</f>
        <v/>
      </c>
      <c r="L14" t="str" cm="1">
        <f t="array" ref="L14">IFERROR("CTN " &amp; INDEX('111 Wall_CTNR Schedule'!$E$8:$E$40,SMALL(IF(LEFT(SUBSTITUTE('111 Wall_CTNR Schedule'!$H$8:$H$40," ","")&amp;",",LEN($C14&amp;"")+1)=$C14&amp;",",ROW('111 Wall_CTNR Schedule'!$H$8:$H$40)-ROW('111 Wall_CTNR Schedule'!$H$8)+1),COLUMNS($D14:K14))),"")</f>
        <v/>
      </c>
      <c r="M14" t="str" cm="1">
        <f t="array" ref="M14">IFERROR("CTN " &amp; INDEX('111 Wall_CTNR Schedule'!$E$8:$E$40,SMALL(IF(LEFT(SUBSTITUTE('111 Wall_CTNR Schedule'!$H$8:$H$40," ","")&amp;",",LEN($C14&amp;"")+1)=$C14&amp;",",ROW('111 Wall_CTNR Schedule'!$H$8:$H$40)-ROW('111 Wall_CTNR Schedule'!$H$8)+1),COLUMNS($D14:L14))),"")</f>
        <v/>
      </c>
      <c r="N14" t="str" cm="1">
        <f t="array" ref="N14">IFERROR("CTN " &amp; INDEX('111 Wall_CTNR Schedule'!$E$8:$E$40,SMALL(IF(LEFT(SUBSTITUTE('111 Wall_CTNR Schedule'!$H$8:$H$40," ","")&amp;",",LEN($C14&amp;"")+1)=$C14&amp;",",ROW('111 Wall_CTNR Schedule'!$H$8:$H$40)-ROW('111 Wall_CTNR Schedule'!$H$8)+1),COLUMNS($D14:M14))),"")</f>
        <v/>
      </c>
    </row>
    <row r="15" spans="2:14" x14ac:dyDescent="0.2">
      <c r="B15" s="366"/>
      <c r="C15" s="328">
        <v>12</v>
      </c>
      <c r="D15" s="343">
        <v>46412</v>
      </c>
      <c r="E15" s="328" t="str" cm="1">
        <f t="array" ref="E15">IFERROR("CTN " &amp; INDEX('111 Wall_CTNR Schedule'!$E$8:$E$40,SMALL(IF(LEFT(SUBSTITUTE('111 Wall_CTNR Schedule'!$H$8:$H$40," ","")&amp;",",LEN($C15&amp;"")+1)=$C15&amp;",",ROW('111 Wall_CTNR Schedule'!$H$8:$H$40)-ROW('111 Wall_CTNR Schedule'!$H$8)+1),COLUMNS($D15:D15))),"")</f>
        <v>CTN 30</v>
      </c>
      <c r="F15" s="328" t="str" cm="1">
        <f t="array" ref="F15">IFERROR("CTN " &amp; INDEX('111 Wall_CTNR Schedule'!$E$8:$E$40,SMALL(IF(LEFT(SUBSTITUTE('111 Wall_CTNR Schedule'!$H$8:$H$40," ","")&amp;",",LEN($C15&amp;"")+1)=$C15&amp;",",ROW('111 Wall_CTNR Schedule'!$H$8:$H$40)-ROW('111 Wall_CTNR Schedule'!$H$8)+1),COLUMNS($D15:E15))),"")</f>
        <v>CTN 31</v>
      </c>
      <c r="G15" s="328" t="str" cm="1">
        <f t="array" ref="G15">IFERROR("CTN " &amp; INDEX('111 Wall_CTNR Schedule'!$E$8:$E$40,SMALL(IF(LEFT(SUBSTITUTE('111 Wall_CTNR Schedule'!$H$8:$H$40," ","")&amp;",",LEN($C15&amp;"")+1)=$C15&amp;",",ROW('111 Wall_CTNR Schedule'!$H$8:$H$40)-ROW('111 Wall_CTNR Schedule'!$H$8)+1),COLUMNS($D15:F15))),"")</f>
        <v/>
      </c>
      <c r="H15" s="338" t="str" cm="1">
        <f t="array" ref="H15">IFERROR("CTN " &amp; INDEX('111 Wall_CTNR Schedule'!$E$8:$E$40,SMALL(IF(LEFT(SUBSTITUTE('111 Wall_CTNR Schedule'!$H$8:$H$40," ","")&amp;",",LEN($C15&amp;"")+1)=$C15&amp;",",ROW('111 Wall_CTNR Schedule'!$H$8:$H$40)-ROW('111 Wall_CTNR Schedule'!$H$8)+1),COLUMNS($D15:G15))),"")</f>
        <v/>
      </c>
      <c r="I15" t="str" cm="1">
        <f t="array" ref="I15">IFERROR("CTN " &amp; INDEX('111 Wall_CTNR Schedule'!$E$8:$E$40,SMALL(IF(LEFT(SUBSTITUTE('111 Wall_CTNR Schedule'!$H$8:$H$40," ","")&amp;",",LEN($C15&amp;"")+1)=$C15&amp;",",ROW('111 Wall_CTNR Schedule'!$H$8:$H$40)-ROW('111 Wall_CTNR Schedule'!$H$8)+1),COLUMNS($D15:H15))),"")</f>
        <v/>
      </c>
      <c r="J15" t="str" cm="1">
        <f t="array" ref="J15">IFERROR("CTN " &amp; INDEX('111 Wall_CTNR Schedule'!$E$8:$E$40,SMALL(IF(LEFT(SUBSTITUTE('111 Wall_CTNR Schedule'!$H$8:$H$40," ","")&amp;",",LEN($C15&amp;"")+1)=$C15&amp;",",ROW('111 Wall_CTNR Schedule'!$H$8:$H$40)-ROW('111 Wall_CTNR Schedule'!$H$8)+1),COLUMNS($D15:I15))),"")</f>
        <v/>
      </c>
      <c r="K15" t="str" cm="1">
        <f t="array" ref="K15">IFERROR("CTN " &amp; INDEX('111 Wall_CTNR Schedule'!$E$8:$E$40,SMALL(IF(LEFT(SUBSTITUTE('111 Wall_CTNR Schedule'!$H$8:$H$40," ","")&amp;",",LEN($C15&amp;"")+1)=$C15&amp;",",ROW('111 Wall_CTNR Schedule'!$H$8:$H$40)-ROW('111 Wall_CTNR Schedule'!$H$8)+1),COLUMNS($D15:J15))),"")</f>
        <v/>
      </c>
      <c r="L15" t="str" cm="1">
        <f t="array" ref="L15">IFERROR("CTN " &amp; INDEX('111 Wall_CTNR Schedule'!$E$8:$E$40,SMALL(IF(LEFT(SUBSTITUTE('111 Wall_CTNR Schedule'!$H$8:$H$40," ","")&amp;",",LEN($C15&amp;"")+1)=$C15&amp;",",ROW('111 Wall_CTNR Schedule'!$H$8:$H$40)-ROW('111 Wall_CTNR Schedule'!$H$8)+1),COLUMNS($D15:K15))),"")</f>
        <v/>
      </c>
      <c r="M15" t="str" cm="1">
        <f t="array" ref="M15">IFERROR("CTN " &amp; INDEX('111 Wall_CTNR Schedule'!$E$8:$E$40,SMALL(IF(LEFT(SUBSTITUTE('111 Wall_CTNR Schedule'!$H$8:$H$40," ","")&amp;",",LEN($C15&amp;"")+1)=$C15&amp;",",ROW('111 Wall_CTNR Schedule'!$H$8:$H$40)-ROW('111 Wall_CTNR Schedule'!$H$8)+1),COLUMNS($D15:L15))),"")</f>
        <v/>
      </c>
      <c r="N15" t="str" cm="1">
        <f t="array" ref="N15">IFERROR("CTN " &amp; INDEX('111 Wall_CTNR Schedule'!$E$8:$E$40,SMALL(IF(LEFT(SUBSTITUTE('111 Wall_CTNR Schedule'!$H$8:$H$40," ","")&amp;",",LEN($C15&amp;"")+1)=$C15&amp;",",ROW('111 Wall_CTNR Schedule'!$H$8:$H$40)-ROW('111 Wall_CTNR Schedule'!$H$8)+1),COLUMNS($D15:M15))),"")</f>
        <v/>
      </c>
    </row>
    <row r="16" spans="2:14" x14ac:dyDescent="0.2">
      <c r="B16" s="366"/>
      <c r="C16" s="328">
        <v>13</v>
      </c>
      <c r="D16" s="343">
        <v>46426</v>
      </c>
      <c r="E16" s="328" t="str" cm="1">
        <f t="array" ref="E16">IFERROR("CTN " &amp; INDEX('111 Wall_CTNR Schedule'!$E$8:$E$40,SMALL(IF(LEFT(SUBSTITUTE('111 Wall_CTNR Schedule'!$H$8:$H$40," ","")&amp;",",LEN($C16&amp;"")+1)=$C16&amp;",",ROW('111 Wall_CTNR Schedule'!$H$8:$H$40)-ROW('111 Wall_CTNR Schedule'!$H$8)+1),COLUMNS($D16:D16))),"")</f>
        <v/>
      </c>
      <c r="F16" s="328" t="str" cm="1">
        <f t="array" ref="F16">IFERROR("CTN " &amp; INDEX('111 Wall_CTNR Schedule'!$E$8:$E$40,SMALL(IF(LEFT(SUBSTITUTE('111 Wall_CTNR Schedule'!$H$8:$H$40," ","")&amp;",",LEN($C16&amp;"")+1)=$C16&amp;",",ROW('111 Wall_CTNR Schedule'!$H$8:$H$40)-ROW('111 Wall_CTNR Schedule'!$H$8)+1),COLUMNS($D16:E16))),"")</f>
        <v/>
      </c>
      <c r="G16" s="328" t="str" cm="1">
        <f t="array" ref="G16">IFERROR("CTN " &amp; INDEX('111 Wall_CTNR Schedule'!$E$8:$E$40,SMALL(IF(LEFT(SUBSTITUTE('111 Wall_CTNR Schedule'!$H$8:$H$40," ","")&amp;",",LEN($C16&amp;"")+1)=$C16&amp;",",ROW('111 Wall_CTNR Schedule'!$H$8:$H$40)-ROW('111 Wall_CTNR Schedule'!$H$8)+1),COLUMNS($D16:F16))),"")</f>
        <v/>
      </c>
      <c r="H16" s="338" t="str" cm="1">
        <f t="array" ref="H16">IFERROR("CTN " &amp; INDEX('111 Wall_CTNR Schedule'!$E$8:$E$40,SMALL(IF(LEFT(SUBSTITUTE('111 Wall_CTNR Schedule'!$H$8:$H$40," ","")&amp;",",LEN($C16&amp;"")+1)=$C16&amp;",",ROW('111 Wall_CTNR Schedule'!$H$8:$H$40)-ROW('111 Wall_CTNR Schedule'!$H$8)+1),COLUMNS($D16:G16))),"")</f>
        <v/>
      </c>
      <c r="I16" t="str" cm="1">
        <f t="array" ref="I16">IFERROR("CTN " &amp; INDEX('111 Wall_CTNR Schedule'!$E$8:$E$40,SMALL(IF(LEFT(SUBSTITUTE('111 Wall_CTNR Schedule'!$H$8:$H$40," ","")&amp;",",LEN($C16&amp;"")+1)=$C16&amp;",",ROW('111 Wall_CTNR Schedule'!$H$8:$H$40)-ROW('111 Wall_CTNR Schedule'!$H$8)+1),COLUMNS($D16:H16))),"")</f>
        <v/>
      </c>
      <c r="J16" t="str" cm="1">
        <f t="array" ref="J16">IFERROR("CTN " &amp; INDEX('111 Wall_CTNR Schedule'!$E$8:$E$40,SMALL(IF(LEFT(SUBSTITUTE('111 Wall_CTNR Schedule'!$H$8:$H$40," ","")&amp;",",LEN($C16&amp;"")+1)=$C16&amp;",",ROW('111 Wall_CTNR Schedule'!$H$8:$H$40)-ROW('111 Wall_CTNR Schedule'!$H$8)+1),COLUMNS($D16:I16))),"")</f>
        <v/>
      </c>
      <c r="K16" t="str" cm="1">
        <f t="array" ref="K16">IFERROR("CTN " &amp; INDEX('111 Wall_CTNR Schedule'!$E$8:$E$40,SMALL(IF(LEFT(SUBSTITUTE('111 Wall_CTNR Schedule'!$H$8:$H$40," ","")&amp;",",LEN($C16&amp;"")+1)=$C16&amp;",",ROW('111 Wall_CTNR Schedule'!$H$8:$H$40)-ROW('111 Wall_CTNR Schedule'!$H$8)+1),COLUMNS($D16:J16))),"")</f>
        <v/>
      </c>
      <c r="L16" t="str" cm="1">
        <f t="array" ref="L16">IFERROR("CTN " &amp; INDEX('111 Wall_CTNR Schedule'!$E$8:$E$40,SMALL(IF(LEFT(SUBSTITUTE('111 Wall_CTNR Schedule'!$H$8:$H$40," ","")&amp;",",LEN($C16&amp;"")+1)=$C16&amp;",",ROW('111 Wall_CTNR Schedule'!$H$8:$H$40)-ROW('111 Wall_CTNR Schedule'!$H$8)+1),COLUMNS($D16:K16))),"")</f>
        <v/>
      </c>
      <c r="M16" t="str" cm="1">
        <f t="array" ref="M16">IFERROR("CTN " &amp; INDEX('111 Wall_CTNR Schedule'!$E$8:$E$40,SMALL(IF(LEFT(SUBSTITUTE('111 Wall_CTNR Schedule'!$H$8:$H$40," ","")&amp;",",LEN($C16&amp;"")+1)=$C16&amp;",",ROW('111 Wall_CTNR Schedule'!$H$8:$H$40)-ROW('111 Wall_CTNR Schedule'!$H$8)+1),COLUMNS($D16:L16))),"")</f>
        <v/>
      </c>
      <c r="N16" t="str" cm="1">
        <f t="array" ref="N16">IFERROR("CTN " &amp; INDEX('111 Wall_CTNR Schedule'!$E$8:$E$40,SMALL(IF(LEFT(SUBSTITUTE('111 Wall_CTNR Schedule'!$H$8:$H$40," ","")&amp;",",LEN($C16&amp;"")+1)=$C16&amp;",",ROW('111 Wall_CTNR Schedule'!$H$8:$H$40)-ROW('111 Wall_CTNR Schedule'!$H$8)+1),COLUMNS($D16:M16))),"")</f>
        <v/>
      </c>
    </row>
    <row r="17" spans="2:14" x14ac:dyDescent="0.2">
      <c r="B17" s="366"/>
      <c r="C17" s="328">
        <v>14</v>
      </c>
      <c r="D17" s="343">
        <v>46440</v>
      </c>
      <c r="E17" s="328" t="str" cm="1">
        <f t="array" ref="E17">IFERROR("CTN " &amp; INDEX('111 Wall_CTNR Schedule'!$E$8:$E$40,SMALL(IF(LEFT(SUBSTITUTE('111 Wall_CTNR Schedule'!$H$8:$H$40," ","")&amp;",",LEN($C17&amp;"")+1)=$C17&amp;",",ROW('111 Wall_CTNR Schedule'!$H$8:$H$40)-ROW('111 Wall_CTNR Schedule'!$H$8)+1),COLUMNS($D17:D17))),"")</f>
        <v/>
      </c>
      <c r="F17" s="328" t="str" cm="1">
        <f t="array" ref="F17">IFERROR("CTN " &amp; INDEX('111 Wall_CTNR Schedule'!$E$8:$E$40,SMALL(IF(LEFT(SUBSTITUTE('111 Wall_CTNR Schedule'!$H$8:$H$40," ","")&amp;",",LEN($C17&amp;"")+1)=$C17&amp;",",ROW('111 Wall_CTNR Schedule'!$H$8:$H$40)-ROW('111 Wall_CTNR Schedule'!$H$8)+1),COLUMNS($D17:E17))),"")</f>
        <v/>
      </c>
      <c r="G17" s="328" t="str" cm="1">
        <f t="array" ref="G17">IFERROR("CTN " &amp; INDEX('111 Wall_CTNR Schedule'!$E$8:$E$40,SMALL(IF(LEFT(SUBSTITUTE('111 Wall_CTNR Schedule'!$H$8:$H$40," ","")&amp;",",LEN($C17&amp;"")+1)=$C17&amp;",",ROW('111 Wall_CTNR Schedule'!$H$8:$H$40)-ROW('111 Wall_CTNR Schedule'!$H$8)+1),COLUMNS($D17:F17))),"")</f>
        <v/>
      </c>
      <c r="H17" s="338" t="str" cm="1">
        <f t="array" ref="H17">IFERROR("CTN " &amp; INDEX('111 Wall_CTNR Schedule'!$E$8:$E$40,SMALL(IF(LEFT(SUBSTITUTE('111 Wall_CTNR Schedule'!$H$8:$H$40," ","")&amp;",",LEN($C17&amp;"")+1)=$C17&amp;",",ROW('111 Wall_CTNR Schedule'!$H$8:$H$40)-ROW('111 Wall_CTNR Schedule'!$H$8)+1),COLUMNS($D17:G17))),"")</f>
        <v/>
      </c>
      <c r="I17" t="str" cm="1">
        <f t="array" ref="I17">IFERROR("CTN " &amp; INDEX('111 Wall_CTNR Schedule'!$E$8:$E$40,SMALL(IF(LEFT(SUBSTITUTE('111 Wall_CTNR Schedule'!$H$8:$H$40," ","")&amp;",",LEN($C17&amp;"")+1)=$C17&amp;",",ROW('111 Wall_CTNR Schedule'!$H$8:$H$40)-ROW('111 Wall_CTNR Schedule'!$H$8)+1),COLUMNS($D17:H17))),"")</f>
        <v/>
      </c>
      <c r="J17" t="str" cm="1">
        <f t="array" ref="J17">IFERROR("CTN " &amp; INDEX('111 Wall_CTNR Schedule'!$E$8:$E$40,SMALL(IF(LEFT(SUBSTITUTE('111 Wall_CTNR Schedule'!$H$8:$H$40," ","")&amp;",",LEN($C17&amp;"")+1)=$C17&amp;",",ROW('111 Wall_CTNR Schedule'!$H$8:$H$40)-ROW('111 Wall_CTNR Schedule'!$H$8)+1),COLUMNS($D17:I17))),"")</f>
        <v/>
      </c>
      <c r="K17" t="str" cm="1">
        <f t="array" ref="K17">IFERROR("CTN " &amp; INDEX('111 Wall_CTNR Schedule'!$E$8:$E$40,SMALL(IF(LEFT(SUBSTITUTE('111 Wall_CTNR Schedule'!$H$8:$H$40," ","")&amp;",",LEN($C17&amp;"")+1)=$C17&amp;",",ROW('111 Wall_CTNR Schedule'!$H$8:$H$40)-ROW('111 Wall_CTNR Schedule'!$H$8)+1),COLUMNS($D17:J17))),"")</f>
        <v/>
      </c>
      <c r="L17" t="str" cm="1">
        <f t="array" ref="L17">IFERROR("CTN " &amp; INDEX('111 Wall_CTNR Schedule'!$E$8:$E$40,SMALL(IF(LEFT(SUBSTITUTE('111 Wall_CTNR Schedule'!$H$8:$H$40," ","")&amp;",",LEN($C17&amp;"")+1)=$C17&amp;",",ROW('111 Wall_CTNR Schedule'!$H$8:$H$40)-ROW('111 Wall_CTNR Schedule'!$H$8)+1),COLUMNS($D17:K17))),"")</f>
        <v/>
      </c>
      <c r="M17" t="str" cm="1">
        <f t="array" ref="M17">IFERROR("CTN " &amp; INDEX('111 Wall_CTNR Schedule'!$E$8:$E$40,SMALL(IF(LEFT(SUBSTITUTE('111 Wall_CTNR Schedule'!$H$8:$H$40," ","")&amp;",",LEN($C17&amp;"")+1)=$C17&amp;",",ROW('111 Wall_CTNR Schedule'!$H$8:$H$40)-ROW('111 Wall_CTNR Schedule'!$H$8)+1),COLUMNS($D17:L17))),"")</f>
        <v/>
      </c>
      <c r="N17" t="str" cm="1">
        <f t="array" ref="N17">IFERROR("CTN " &amp; INDEX('111 Wall_CTNR Schedule'!$E$8:$E$40,SMALL(IF(LEFT(SUBSTITUTE('111 Wall_CTNR Schedule'!$H$8:$H$40," ","")&amp;",",LEN($C17&amp;"")+1)=$C17&amp;",",ROW('111 Wall_CTNR Schedule'!$H$8:$H$40)-ROW('111 Wall_CTNR Schedule'!$H$8)+1),COLUMNS($D17:M17))),"")</f>
        <v/>
      </c>
    </row>
    <row r="18" spans="2:14" x14ac:dyDescent="0.2">
      <c r="B18" s="366"/>
      <c r="C18" s="328">
        <v>15</v>
      </c>
      <c r="D18" s="343">
        <v>46454</v>
      </c>
      <c r="E18" s="328" t="str" cm="1">
        <f t="array" ref="E18">IFERROR("CTN " &amp; INDEX('111 Wall_CTNR Schedule'!$E$8:$E$40,SMALL(IF(LEFT(SUBSTITUTE('111 Wall_CTNR Schedule'!$H$8:$H$40," ","")&amp;",",LEN($C18&amp;"")+1)=$C18&amp;",",ROW('111 Wall_CTNR Schedule'!$H$8:$H$40)-ROW('111 Wall_CTNR Schedule'!$H$8)+1),COLUMNS($D18:D18))),"")</f>
        <v/>
      </c>
      <c r="F18" s="328" t="str" cm="1">
        <f t="array" ref="F18">IFERROR("CTN " &amp; INDEX('111 Wall_CTNR Schedule'!$E$8:$E$40,SMALL(IF(LEFT(SUBSTITUTE('111 Wall_CTNR Schedule'!$H$8:$H$40," ","")&amp;",",LEN($C18&amp;"")+1)=$C18&amp;",",ROW('111 Wall_CTNR Schedule'!$H$8:$H$40)-ROW('111 Wall_CTNR Schedule'!$H$8)+1),COLUMNS($D18:E18))),"")</f>
        <v/>
      </c>
      <c r="G18" s="328" t="str" cm="1">
        <f t="array" ref="G18">IFERROR("CTN " &amp; INDEX('111 Wall_CTNR Schedule'!$E$8:$E$40,SMALL(IF(LEFT(SUBSTITUTE('111 Wall_CTNR Schedule'!$H$8:$H$40," ","")&amp;",",LEN($C18&amp;"")+1)=$C18&amp;",",ROW('111 Wall_CTNR Schedule'!$H$8:$H$40)-ROW('111 Wall_CTNR Schedule'!$H$8)+1),COLUMNS($D18:F18))),"")</f>
        <v/>
      </c>
      <c r="H18" s="338" t="str" cm="1">
        <f t="array" ref="H18">IFERROR("CTN " &amp; INDEX('111 Wall_CTNR Schedule'!$E$8:$E$40,SMALL(IF(LEFT(SUBSTITUTE('111 Wall_CTNR Schedule'!$H$8:$H$40," ","")&amp;",",LEN($C18&amp;"")+1)=$C18&amp;",",ROW('111 Wall_CTNR Schedule'!$H$8:$H$40)-ROW('111 Wall_CTNR Schedule'!$H$8)+1),COLUMNS($D18:G18))),"")</f>
        <v/>
      </c>
      <c r="I18" t="str" cm="1">
        <f t="array" ref="I18">IFERROR("CTN " &amp; INDEX('111 Wall_CTNR Schedule'!$E$8:$E$40,SMALL(IF(LEFT(SUBSTITUTE('111 Wall_CTNR Schedule'!$H$8:$H$40," ","")&amp;",",LEN($C18&amp;"")+1)=$C18&amp;",",ROW('111 Wall_CTNR Schedule'!$H$8:$H$40)-ROW('111 Wall_CTNR Schedule'!$H$8)+1),COLUMNS($D18:H18))),"")</f>
        <v/>
      </c>
      <c r="J18" t="str" cm="1">
        <f t="array" ref="J18">IFERROR("CTN " &amp; INDEX('111 Wall_CTNR Schedule'!$E$8:$E$40,SMALL(IF(LEFT(SUBSTITUTE('111 Wall_CTNR Schedule'!$H$8:$H$40," ","")&amp;",",LEN($C18&amp;"")+1)=$C18&amp;",",ROW('111 Wall_CTNR Schedule'!$H$8:$H$40)-ROW('111 Wall_CTNR Schedule'!$H$8)+1),COLUMNS($D18:I18))),"")</f>
        <v/>
      </c>
      <c r="K18" t="str" cm="1">
        <f t="array" ref="K18">IFERROR("CTN " &amp; INDEX('111 Wall_CTNR Schedule'!$E$8:$E$40,SMALL(IF(LEFT(SUBSTITUTE('111 Wall_CTNR Schedule'!$H$8:$H$40," ","")&amp;",",LEN($C18&amp;"")+1)=$C18&amp;",",ROW('111 Wall_CTNR Schedule'!$H$8:$H$40)-ROW('111 Wall_CTNR Schedule'!$H$8)+1),COLUMNS($D18:J18))),"")</f>
        <v/>
      </c>
      <c r="L18" t="str" cm="1">
        <f t="array" ref="L18">IFERROR("CTN " &amp; INDEX('111 Wall_CTNR Schedule'!$E$8:$E$40,SMALL(IF(LEFT(SUBSTITUTE('111 Wall_CTNR Schedule'!$H$8:$H$40," ","")&amp;",",LEN($C18&amp;"")+1)=$C18&amp;",",ROW('111 Wall_CTNR Schedule'!$H$8:$H$40)-ROW('111 Wall_CTNR Schedule'!$H$8)+1),COLUMNS($D18:K18))),"")</f>
        <v/>
      </c>
      <c r="M18" t="str" cm="1">
        <f t="array" ref="M18">IFERROR("CTN " &amp; INDEX('111 Wall_CTNR Schedule'!$E$8:$E$40,SMALL(IF(LEFT(SUBSTITUTE('111 Wall_CTNR Schedule'!$H$8:$H$40," ","")&amp;",",LEN($C18&amp;"")+1)=$C18&amp;",",ROW('111 Wall_CTNR Schedule'!$H$8:$H$40)-ROW('111 Wall_CTNR Schedule'!$H$8)+1),COLUMNS($D18:L18))),"")</f>
        <v/>
      </c>
      <c r="N18" t="str" cm="1">
        <f t="array" ref="N18">IFERROR("CTN " &amp; INDEX('111 Wall_CTNR Schedule'!$E$8:$E$40,SMALL(IF(LEFT(SUBSTITUTE('111 Wall_CTNR Schedule'!$H$8:$H$40," ","")&amp;",",LEN($C18&amp;"")+1)=$C18&amp;",",ROW('111 Wall_CTNR Schedule'!$H$8:$H$40)-ROW('111 Wall_CTNR Schedule'!$H$8)+1),COLUMNS($D18:M18))),"")</f>
        <v/>
      </c>
    </row>
    <row r="19" spans="2:14" ht="15" thickBot="1" x14ac:dyDescent="0.25">
      <c r="B19" s="367"/>
      <c r="C19" s="339">
        <v>16</v>
      </c>
      <c r="D19" s="344">
        <v>46468</v>
      </c>
      <c r="E19" s="339" t="str" cm="1">
        <f t="array" ref="E19">IFERROR("CTN " &amp; INDEX('111 Wall_CTNR Schedule'!$E$8:$E$40,SMALL(IF(LEFT(SUBSTITUTE('111 Wall_CTNR Schedule'!$H$8:$H$40," ","")&amp;",",LEN($C19&amp;"")+1)=$C19&amp;",",ROW('111 Wall_CTNR Schedule'!$H$8:$H$40)-ROW('111 Wall_CTNR Schedule'!$H$8)+1),COLUMNS($D19:D19))),"")</f>
        <v/>
      </c>
      <c r="F19" s="339" t="str" cm="1">
        <f t="array" ref="F19">IFERROR("CTN " &amp; INDEX('111 Wall_CTNR Schedule'!$E$8:$E$40,SMALL(IF(LEFT(SUBSTITUTE('111 Wall_CTNR Schedule'!$H$8:$H$40," ","")&amp;",",LEN($C19&amp;"")+1)=$C19&amp;",",ROW('111 Wall_CTNR Schedule'!$H$8:$H$40)-ROW('111 Wall_CTNR Schedule'!$H$8)+1),COLUMNS($D19:E19))),"")</f>
        <v/>
      </c>
      <c r="G19" s="339" t="str" cm="1">
        <f t="array" ref="G19">IFERROR("CTN " &amp; INDEX('111 Wall_CTNR Schedule'!$E$8:$E$40,SMALL(IF(LEFT(SUBSTITUTE('111 Wall_CTNR Schedule'!$H$8:$H$40," ","")&amp;",",LEN($C19&amp;"")+1)=$C19&amp;",",ROW('111 Wall_CTNR Schedule'!$H$8:$H$40)-ROW('111 Wall_CTNR Schedule'!$H$8)+1),COLUMNS($D19:F19))),"")</f>
        <v/>
      </c>
      <c r="H19" s="341" t="str" cm="1">
        <f t="array" ref="H19">IFERROR("CTN " &amp; INDEX('111 Wall_CTNR Schedule'!$E$8:$E$40,SMALL(IF(LEFT(SUBSTITUTE('111 Wall_CTNR Schedule'!$H$8:$H$40," ","")&amp;",",LEN($C19&amp;"")+1)=$C19&amp;",",ROW('111 Wall_CTNR Schedule'!$H$8:$H$40)-ROW('111 Wall_CTNR Schedule'!$H$8)+1),COLUMNS($D19:G19))),"")</f>
        <v/>
      </c>
      <c r="I19" t="str" cm="1">
        <f t="array" ref="I19">IFERROR("CTN " &amp; INDEX('111 Wall_CTNR Schedule'!$E$8:$E$40,SMALL(IF(LEFT(SUBSTITUTE('111 Wall_CTNR Schedule'!$H$8:$H$40," ","")&amp;",",LEN($C19&amp;"")+1)=$C19&amp;",",ROW('111 Wall_CTNR Schedule'!$H$8:$H$40)-ROW('111 Wall_CTNR Schedule'!$H$8)+1),COLUMNS($D19:H19))),"")</f>
        <v/>
      </c>
      <c r="J19" t="str" cm="1">
        <f t="array" ref="J19">IFERROR("CTN " &amp; INDEX('111 Wall_CTNR Schedule'!$E$8:$E$40,SMALL(IF(LEFT(SUBSTITUTE('111 Wall_CTNR Schedule'!$H$8:$H$40," ","")&amp;",",LEN($C19&amp;"")+1)=$C19&amp;",",ROW('111 Wall_CTNR Schedule'!$H$8:$H$40)-ROW('111 Wall_CTNR Schedule'!$H$8)+1),COLUMNS($D19:I19))),"")</f>
        <v/>
      </c>
      <c r="K19" t="str" cm="1">
        <f t="array" ref="K19">IFERROR("CTN " &amp; INDEX('111 Wall_CTNR Schedule'!$E$8:$E$40,SMALL(IF(LEFT(SUBSTITUTE('111 Wall_CTNR Schedule'!$H$8:$H$40," ","")&amp;",",LEN($C19&amp;"")+1)=$C19&amp;",",ROW('111 Wall_CTNR Schedule'!$H$8:$H$40)-ROW('111 Wall_CTNR Schedule'!$H$8)+1),COLUMNS($D19:J19))),"")</f>
        <v/>
      </c>
      <c r="L19" t="str" cm="1">
        <f t="array" ref="L19">IFERROR("CTN " &amp; INDEX('111 Wall_CTNR Schedule'!$E$8:$E$40,SMALL(IF(LEFT(SUBSTITUTE('111 Wall_CTNR Schedule'!$H$8:$H$40," ","")&amp;",",LEN($C19&amp;"")+1)=$C19&amp;",",ROW('111 Wall_CTNR Schedule'!$H$8:$H$40)-ROW('111 Wall_CTNR Schedule'!$H$8)+1),COLUMNS($D19:K19))),"")</f>
        <v/>
      </c>
      <c r="M19" t="str" cm="1">
        <f t="array" ref="M19">IFERROR("CTN " &amp; INDEX('111 Wall_CTNR Schedule'!$E$8:$E$40,SMALL(IF(LEFT(SUBSTITUTE('111 Wall_CTNR Schedule'!$H$8:$H$40," ","")&amp;",",LEN($C19&amp;"")+1)=$C19&amp;",",ROW('111 Wall_CTNR Schedule'!$H$8:$H$40)-ROW('111 Wall_CTNR Schedule'!$H$8)+1),COLUMNS($D19:L19))),"")</f>
        <v/>
      </c>
      <c r="N19" t="str" cm="1">
        <f t="array" ref="N19">IFERROR("CTN " &amp; INDEX('111 Wall_CTNR Schedule'!$E$8:$E$40,SMALL(IF(LEFT(SUBSTITUTE('111 Wall_CTNR Schedule'!$H$8:$H$40," ","")&amp;",",LEN($C19&amp;"")+1)=$C19&amp;",",ROW('111 Wall_CTNR Schedule'!$H$8:$H$40)-ROW('111 Wall_CTNR Schedule'!$H$8)+1),COLUMNS($D19:M19))),"")</f>
        <v/>
      </c>
    </row>
    <row r="20" spans="2:14" x14ac:dyDescent="0.2">
      <c r="B20" s="362" t="s">
        <v>105</v>
      </c>
      <c r="C20" s="335">
        <v>17</v>
      </c>
      <c r="D20" s="342">
        <v>46482</v>
      </c>
      <c r="E20" s="335" t="str" cm="1">
        <f t="array" ref="E20">IFERROR("CTN " &amp; INDEX('111 Wall_CTNR Schedule'!$E$8:$E$40,SMALL(IF(LEFT(SUBSTITUTE('111 Wall_CTNR Schedule'!$H$8:$H$40," ","")&amp;",",LEN($C20&amp;"")+1)=$C20&amp;",",ROW('111 Wall_CTNR Schedule'!$H$8:$H$40)-ROW('111 Wall_CTNR Schedule'!$H$8)+1),COLUMNS($D20:D20))),"")</f>
        <v/>
      </c>
      <c r="F20" s="335" t="str" cm="1">
        <f t="array" ref="F20">IFERROR("CTN " &amp; INDEX('111 Wall_CTNR Schedule'!$E$8:$E$40,SMALL(IF(LEFT(SUBSTITUTE('111 Wall_CTNR Schedule'!$H$8:$H$40," ","")&amp;",",LEN($C20&amp;"")+1)=$C20&amp;",",ROW('111 Wall_CTNR Schedule'!$H$8:$H$40)-ROW('111 Wall_CTNR Schedule'!$H$8)+1),COLUMNS($D20:E20))),"")</f>
        <v/>
      </c>
      <c r="G20" s="335" t="str" cm="1">
        <f t="array" ref="G20">IFERROR("CTN " &amp; INDEX('111 Wall_CTNR Schedule'!$E$8:$E$40,SMALL(IF(LEFT(SUBSTITUTE('111 Wall_CTNR Schedule'!$H$8:$H$40," ","")&amp;",",LEN($C20&amp;"")+1)=$C20&amp;",",ROW('111 Wall_CTNR Schedule'!$H$8:$H$40)-ROW('111 Wall_CTNR Schedule'!$H$8)+1),COLUMNS($D20:F20))),"")</f>
        <v/>
      </c>
      <c r="H20" s="337" t="str" cm="1">
        <f t="array" ref="H20">IFERROR("CTN " &amp; INDEX('111 Wall_CTNR Schedule'!$E$8:$E$40,SMALL(IF(LEFT(SUBSTITUTE('111 Wall_CTNR Schedule'!$H$8:$H$40," ","")&amp;",",LEN($C20&amp;"")+1)=$C20&amp;",",ROW('111 Wall_CTNR Schedule'!$H$8:$H$40)-ROW('111 Wall_CTNR Schedule'!$H$8)+1),COLUMNS($D20:G20))),"")</f>
        <v/>
      </c>
      <c r="I20" t="str" cm="1">
        <f t="array" ref="I20">IFERROR("CTN " &amp; INDEX('111 Wall_CTNR Schedule'!$E$8:$E$40,SMALL(IF(LEFT(SUBSTITUTE('111 Wall_CTNR Schedule'!$H$8:$H$40," ","")&amp;",",LEN($C20&amp;"")+1)=$C20&amp;",",ROW('111 Wall_CTNR Schedule'!$H$8:$H$40)-ROW('111 Wall_CTNR Schedule'!$H$8)+1),COLUMNS($D20:H20))),"")</f>
        <v/>
      </c>
      <c r="J20" t="str" cm="1">
        <f t="array" ref="J20">IFERROR("CTN " &amp; INDEX('111 Wall_CTNR Schedule'!$E$8:$E$40,SMALL(IF(LEFT(SUBSTITUTE('111 Wall_CTNR Schedule'!$H$8:$H$40," ","")&amp;",",LEN($C20&amp;"")+1)=$C20&amp;",",ROW('111 Wall_CTNR Schedule'!$H$8:$H$40)-ROW('111 Wall_CTNR Schedule'!$H$8)+1),COLUMNS($D20:I20))),"")</f>
        <v/>
      </c>
      <c r="K20" t="str" cm="1">
        <f t="array" ref="K20">IFERROR("CTN " &amp; INDEX('111 Wall_CTNR Schedule'!$E$8:$E$40,SMALL(IF(LEFT(SUBSTITUTE('111 Wall_CTNR Schedule'!$H$8:$H$40," ","")&amp;",",LEN($C20&amp;"")+1)=$C20&amp;",",ROW('111 Wall_CTNR Schedule'!$H$8:$H$40)-ROW('111 Wall_CTNR Schedule'!$H$8)+1),COLUMNS($D20:J20))),"")</f>
        <v/>
      </c>
      <c r="L20" t="str" cm="1">
        <f t="array" ref="L20">IFERROR("CTN " &amp; INDEX('111 Wall_CTNR Schedule'!$E$8:$E$40,SMALL(IF(LEFT(SUBSTITUTE('111 Wall_CTNR Schedule'!$H$8:$H$40," ","")&amp;",",LEN($C20&amp;"")+1)=$C20&amp;",",ROW('111 Wall_CTNR Schedule'!$H$8:$H$40)-ROW('111 Wall_CTNR Schedule'!$H$8)+1),COLUMNS($D20:K20))),"")</f>
        <v/>
      </c>
      <c r="M20" t="str" cm="1">
        <f t="array" ref="M20">IFERROR("CTN " &amp; INDEX('111 Wall_CTNR Schedule'!$E$8:$E$40,SMALL(IF(LEFT(SUBSTITUTE('111 Wall_CTNR Schedule'!$H$8:$H$40," ","")&amp;",",LEN($C20&amp;"")+1)=$C20&amp;",",ROW('111 Wall_CTNR Schedule'!$H$8:$H$40)-ROW('111 Wall_CTNR Schedule'!$H$8)+1),COLUMNS($D20:L20))),"")</f>
        <v/>
      </c>
      <c r="N20" t="str" cm="1">
        <f t="array" ref="N20">IFERROR("CTN " &amp; INDEX('111 Wall_CTNR Schedule'!$E$8:$E$40,SMALL(IF(LEFT(SUBSTITUTE('111 Wall_CTNR Schedule'!$H$8:$H$40," ","")&amp;",",LEN($C20&amp;"")+1)=$C20&amp;",",ROW('111 Wall_CTNR Schedule'!$H$8:$H$40)-ROW('111 Wall_CTNR Schedule'!$H$8)+1),COLUMNS($D20:M20))),"")</f>
        <v/>
      </c>
    </row>
    <row r="21" spans="2:14" x14ac:dyDescent="0.2">
      <c r="B21" s="363"/>
      <c r="C21" s="328">
        <v>18</v>
      </c>
      <c r="D21" s="343">
        <v>46496</v>
      </c>
      <c r="E21" s="328" t="str" cm="1">
        <f t="array" ref="E21">IFERROR("CTN " &amp; INDEX('111 Wall_CTNR Schedule'!$E$8:$E$40,SMALL(IF(LEFT(SUBSTITUTE('111 Wall_CTNR Schedule'!$H$8:$H$40," ","")&amp;",",LEN($C21&amp;"")+1)=$C21&amp;",",ROW('111 Wall_CTNR Schedule'!$H$8:$H$40)-ROW('111 Wall_CTNR Schedule'!$H$8)+1),COLUMNS($D21:D21))),"")</f>
        <v/>
      </c>
      <c r="F21" s="328" t="str" cm="1">
        <f t="array" ref="F21">IFERROR("CTN " &amp; INDEX('111 Wall_CTNR Schedule'!$E$8:$E$40,SMALL(IF(LEFT(SUBSTITUTE('111 Wall_CTNR Schedule'!$H$8:$H$40," ","")&amp;",",LEN($C21&amp;"")+1)=$C21&amp;",",ROW('111 Wall_CTNR Schedule'!$H$8:$H$40)-ROW('111 Wall_CTNR Schedule'!$H$8)+1),COLUMNS($D21:E21))),"")</f>
        <v/>
      </c>
      <c r="G21" s="328" t="str" cm="1">
        <f t="array" ref="G21">IFERROR("CTN " &amp; INDEX('111 Wall_CTNR Schedule'!$E$8:$E$40,SMALL(IF(LEFT(SUBSTITUTE('111 Wall_CTNR Schedule'!$H$8:$H$40," ","")&amp;",",LEN($C21&amp;"")+1)=$C21&amp;",",ROW('111 Wall_CTNR Schedule'!$H$8:$H$40)-ROW('111 Wall_CTNR Schedule'!$H$8)+1),COLUMNS($D21:F21))),"")</f>
        <v/>
      </c>
      <c r="H21" s="338" t="str" cm="1">
        <f t="array" ref="H21">IFERROR("CTN " &amp; INDEX('111 Wall_CTNR Schedule'!$E$8:$E$40,SMALL(IF(LEFT(SUBSTITUTE('111 Wall_CTNR Schedule'!$H$8:$H$40," ","")&amp;",",LEN($C21&amp;"")+1)=$C21&amp;",",ROW('111 Wall_CTNR Schedule'!$H$8:$H$40)-ROW('111 Wall_CTNR Schedule'!$H$8)+1),COLUMNS($D21:G21))),"")</f>
        <v/>
      </c>
      <c r="I21" t="str" cm="1">
        <f t="array" ref="I21">IFERROR("CTN " &amp; INDEX('111 Wall_CTNR Schedule'!$E$8:$E$40,SMALL(IF(LEFT(SUBSTITUTE('111 Wall_CTNR Schedule'!$H$8:$H$40," ","")&amp;",",LEN($C21&amp;"")+1)=$C21&amp;",",ROW('111 Wall_CTNR Schedule'!$H$8:$H$40)-ROW('111 Wall_CTNR Schedule'!$H$8)+1),COLUMNS($D21:H21))),"")</f>
        <v/>
      </c>
      <c r="J21" t="str" cm="1">
        <f t="array" ref="J21">IFERROR("CTN " &amp; INDEX('111 Wall_CTNR Schedule'!$E$8:$E$40,SMALL(IF(LEFT(SUBSTITUTE('111 Wall_CTNR Schedule'!$H$8:$H$40," ","")&amp;",",LEN($C21&amp;"")+1)=$C21&amp;",",ROW('111 Wall_CTNR Schedule'!$H$8:$H$40)-ROW('111 Wall_CTNR Schedule'!$H$8)+1),COLUMNS($D21:I21))),"")</f>
        <v/>
      </c>
      <c r="K21" t="str" cm="1">
        <f t="array" ref="K21">IFERROR("CTN " &amp; INDEX('111 Wall_CTNR Schedule'!$E$8:$E$40,SMALL(IF(LEFT(SUBSTITUTE('111 Wall_CTNR Schedule'!$H$8:$H$40," ","")&amp;",",LEN($C21&amp;"")+1)=$C21&amp;",",ROW('111 Wall_CTNR Schedule'!$H$8:$H$40)-ROW('111 Wall_CTNR Schedule'!$H$8)+1),COLUMNS($D21:J21))),"")</f>
        <v/>
      </c>
      <c r="L21" t="str" cm="1">
        <f t="array" ref="L21">IFERROR("CTN " &amp; INDEX('111 Wall_CTNR Schedule'!$E$8:$E$40,SMALL(IF(LEFT(SUBSTITUTE('111 Wall_CTNR Schedule'!$H$8:$H$40," ","")&amp;",",LEN($C21&amp;"")+1)=$C21&amp;",",ROW('111 Wall_CTNR Schedule'!$H$8:$H$40)-ROW('111 Wall_CTNR Schedule'!$H$8)+1),COLUMNS($D21:K21))),"")</f>
        <v/>
      </c>
      <c r="M21" t="str" cm="1">
        <f t="array" ref="M21">IFERROR("CTN " &amp; INDEX('111 Wall_CTNR Schedule'!$E$8:$E$40,SMALL(IF(LEFT(SUBSTITUTE('111 Wall_CTNR Schedule'!$H$8:$H$40," ","")&amp;",",LEN($C21&amp;"")+1)=$C21&amp;",",ROW('111 Wall_CTNR Schedule'!$H$8:$H$40)-ROW('111 Wall_CTNR Schedule'!$H$8)+1),COLUMNS($D21:L21))),"")</f>
        <v/>
      </c>
      <c r="N21" t="str" cm="1">
        <f t="array" ref="N21">IFERROR("CTN " &amp; INDEX('111 Wall_CTNR Schedule'!$E$8:$E$40,SMALL(IF(LEFT(SUBSTITUTE('111 Wall_CTNR Schedule'!$H$8:$H$40," ","")&amp;",",LEN($C21&amp;"")+1)=$C21&amp;",",ROW('111 Wall_CTNR Schedule'!$H$8:$H$40)-ROW('111 Wall_CTNR Schedule'!$H$8)+1),COLUMNS($D21:M21))),"")</f>
        <v/>
      </c>
    </row>
    <row r="22" spans="2:14" x14ac:dyDescent="0.2">
      <c r="B22" s="363"/>
      <c r="C22" s="328">
        <v>19</v>
      </c>
      <c r="D22" s="343">
        <v>46510</v>
      </c>
      <c r="E22" s="328" t="str" cm="1">
        <f t="array" ref="E22">IFERROR("CTN " &amp; INDEX('111 Wall_CTNR Schedule'!$E$8:$E$40,SMALL(IF(LEFT(SUBSTITUTE('111 Wall_CTNR Schedule'!$H$8:$H$40," ","")&amp;",",LEN($C22&amp;"")+1)=$C22&amp;",",ROW('111 Wall_CTNR Schedule'!$H$8:$H$40)-ROW('111 Wall_CTNR Schedule'!$H$8)+1),COLUMNS($D22:D22))),"")</f>
        <v/>
      </c>
      <c r="F22" s="328" t="str" cm="1">
        <f t="array" ref="F22">IFERROR("CTN " &amp; INDEX('111 Wall_CTNR Schedule'!$E$8:$E$40,SMALL(IF(LEFT(SUBSTITUTE('111 Wall_CTNR Schedule'!$H$8:$H$40," ","")&amp;",",LEN($C22&amp;"")+1)=$C22&amp;",",ROW('111 Wall_CTNR Schedule'!$H$8:$H$40)-ROW('111 Wall_CTNR Schedule'!$H$8)+1),COLUMNS($D22:E22))),"")</f>
        <v/>
      </c>
      <c r="G22" s="328" t="str" cm="1">
        <f t="array" ref="G22">IFERROR("CTN " &amp; INDEX('111 Wall_CTNR Schedule'!$E$8:$E$40,SMALL(IF(LEFT(SUBSTITUTE('111 Wall_CTNR Schedule'!$H$8:$H$40," ","")&amp;",",LEN($C22&amp;"")+1)=$C22&amp;",",ROW('111 Wall_CTNR Schedule'!$H$8:$H$40)-ROW('111 Wall_CTNR Schedule'!$H$8)+1),COLUMNS($D22:F22))),"")</f>
        <v/>
      </c>
      <c r="H22" s="338" t="str" cm="1">
        <f t="array" ref="H22">IFERROR("CTN " &amp; INDEX('111 Wall_CTNR Schedule'!$E$8:$E$40,SMALL(IF(LEFT(SUBSTITUTE('111 Wall_CTNR Schedule'!$H$8:$H$40," ","")&amp;",",LEN($C22&amp;"")+1)=$C22&amp;",",ROW('111 Wall_CTNR Schedule'!$H$8:$H$40)-ROW('111 Wall_CTNR Schedule'!$H$8)+1),COLUMNS($D22:G22))),"")</f>
        <v/>
      </c>
      <c r="I22" t="str" cm="1">
        <f t="array" ref="I22">IFERROR("CTN " &amp; INDEX('111 Wall_CTNR Schedule'!$E$8:$E$40,SMALL(IF(LEFT(SUBSTITUTE('111 Wall_CTNR Schedule'!$H$8:$H$40," ","")&amp;",",LEN($C22&amp;"")+1)=$C22&amp;",",ROW('111 Wall_CTNR Schedule'!$H$8:$H$40)-ROW('111 Wall_CTNR Schedule'!$H$8)+1),COLUMNS($D22:H22))),"")</f>
        <v/>
      </c>
      <c r="J22" t="str" cm="1">
        <f t="array" ref="J22">IFERROR("CTN " &amp; INDEX('111 Wall_CTNR Schedule'!$E$8:$E$40,SMALL(IF(LEFT(SUBSTITUTE('111 Wall_CTNR Schedule'!$H$8:$H$40," ","")&amp;",",LEN($C22&amp;"")+1)=$C22&amp;",",ROW('111 Wall_CTNR Schedule'!$H$8:$H$40)-ROW('111 Wall_CTNR Schedule'!$H$8)+1),COLUMNS($D22:I22))),"")</f>
        <v/>
      </c>
      <c r="K22" t="str" cm="1">
        <f t="array" ref="K22">IFERROR("CTN " &amp; INDEX('111 Wall_CTNR Schedule'!$E$8:$E$40,SMALL(IF(LEFT(SUBSTITUTE('111 Wall_CTNR Schedule'!$H$8:$H$40," ","")&amp;",",LEN($C22&amp;"")+1)=$C22&amp;",",ROW('111 Wall_CTNR Schedule'!$H$8:$H$40)-ROW('111 Wall_CTNR Schedule'!$H$8)+1),COLUMNS($D22:J22))),"")</f>
        <v/>
      </c>
      <c r="L22" t="str" cm="1">
        <f t="array" ref="L22">IFERROR("CTN " &amp; INDEX('111 Wall_CTNR Schedule'!$E$8:$E$40,SMALL(IF(LEFT(SUBSTITUTE('111 Wall_CTNR Schedule'!$H$8:$H$40," ","")&amp;",",LEN($C22&amp;"")+1)=$C22&amp;",",ROW('111 Wall_CTNR Schedule'!$H$8:$H$40)-ROW('111 Wall_CTNR Schedule'!$H$8)+1),COLUMNS($D22:K22))),"")</f>
        <v/>
      </c>
      <c r="M22" t="str" cm="1">
        <f t="array" ref="M22">IFERROR("CTN " &amp; INDEX('111 Wall_CTNR Schedule'!$E$8:$E$40,SMALL(IF(LEFT(SUBSTITUTE('111 Wall_CTNR Schedule'!$H$8:$H$40," ","")&amp;",",LEN($C22&amp;"")+1)=$C22&amp;",",ROW('111 Wall_CTNR Schedule'!$H$8:$H$40)-ROW('111 Wall_CTNR Schedule'!$H$8)+1),COLUMNS($D22:L22))),"")</f>
        <v/>
      </c>
      <c r="N22" t="str" cm="1">
        <f t="array" ref="N22">IFERROR("CTN " &amp; INDEX('111 Wall_CTNR Schedule'!$E$8:$E$40,SMALL(IF(LEFT(SUBSTITUTE('111 Wall_CTNR Schedule'!$H$8:$H$40," ","")&amp;",",LEN($C22&amp;"")+1)=$C22&amp;",",ROW('111 Wall_CTNR Schedule'!$H$8:$H$40)-ROW('111 Wall_CTNR Schedule'!$H$8)+1),COLUMNS($D22:M22))),"")</f>
        <v/>
      </c>
    </row>
    <row r="23" spans="2:14" x14ac:dyDescent="0.2">
      <c r="B23" s="363"/>
      <c r="C23" s="328">
        <v>20</v>
      </c>
      <c r="D23" s="343">
        <v>46524</v>
      </c>
      <c r="E23" s="328" t="str" cm="1">
        <f t="array" ref="E23">IFERROR("CTN " &amp; INDEX('111 Wall_CTNR Schedule'!$E$8:$E$40,SMALL(IF(LEFT(SUBSTITUTE('111 Wall_CTNR Schedule'!$H$8:$H$40," ","")&amp;",",LEN($C23&amp;"")+1)=$C23&amp;",",ROW('111 Wall_CTNR Schedule'!$H$8:$H$40)-ROW('111 Wall_CTNR Schedule'!$H$8)+1),COLUMNS($D23:D23))),"")</f>
        <v/>
      </c>
      <c r="F23" s="328" t="str" cm="1">
        <f t="array" ref="F23">IFERROR("CTN " &amp; INDEX('111 Wall_CTNR Schedule'!$E$8:$E$40,SMALL(IF(LEFT(SUBSTITUTE('111 Wall_CTNR Schedule'!$H$8:$H$40," ","")&amp;",",LEN($C23&amp;"")+1)=$C23&amp;",",ROW('111 Wall_CTNR Schedule'!$H$8:$H$40)-ROW('111 Wall_CTNR Schedule'!$H$8)+1),COLUMNS($D23:E23))),"")</f>
        <v/>
      </c>
      <c r="G23" s="328" t="str" cm="1">
        <f t="array" ref="G23">IFERROR("CTN " &amp; INDEX('111 Wall_CTNR Schedule'!$E$8:$E$40,SMALL(IF(LEFT(SUBSTITUTE('111 Wall_CTNR Schedule'!$H$8:$H$40," ","")&amp;",",LEN($C23&amp;"")+1)=$C23&amp;",",ROW('111 Wall_CTNR Schedule'!$H$8:$H$40)-ROW('111 Wall_CTNR Schedule'!$H$8)+1),COLUMNS($D23:F23))),"")</f>
        <v/>
      </c>
      <c r="H23" s="338" t="str" cm="1">
        <f t="array" ref="H23">IFERROR("CTN " &amp; INDEX('111 Wall_CTNR Schedule'!$E$8:$E$40,SMALL(IF(LEFT(SUBSTITUTE('111 Wall_CTNR Schedule'!$H$8:$H$40," ","")&amp;",",LEN($C23&amp;"")+1)=$C23&amp;",",ROW('111 Wall_CTNR Schedule'!$H$8:$H$40)-ROW('111 Wall_CTNR Schedule'!$H$8)+1),COLUMNS($D23:G23))),"")</f>
        <v/>
      </c>
      <c r="I23" t="str" cm="1">
        <f t="array" ref="I23">IFERROR("CTN " &amp; INDEX('111 Wall_CTNR Schedule'!$E$8:$E$40,SMALL(IF(LEFT(SUBSTITUTE('111 Wall_CTNR Schedule'!$H$8:$H$40," ","")&amp;",",LEN($C23&amp;"")+1)=$C23&amp;",",ROW('111 Wall_CTNR Schedule'!$H$8:$H$40)-ROW('111 Wall_CTNR Schedule'!$H$8)+1),COLUMNS($D23:H23))),"")</f>
        <v/>
      </c>
      <c r="J23" t="str" cm="1">
        <f t="array" ref="J23">IFERROR("CTN " &amp; INDEX('111 Wall_CTNR Schedule'!$E$8:$E$40,SMALL(IF(LEFT(SUBSTITUTE('111 Wall_CTNR Schedule'!$H$8:$H$40," ","")&amp;",",LEN($C23&amp;"")+1)=$C23&amp;",",ROW('111 Wall_CTNR Schedule'!$H$8:$H$40)-ROW('111 Wall_CTNR Schedule'!$H$8)+1),COLUMNS($D23:I23))),"")</f>
        <v/>
      </c>
      <c r="K23" t="str" cm="1">
        <f t="array" ref="K23">IFERROR("CTN " &amp; INDEX('111 Wall_CTNR Schedule'!$E$8:$E$40,SMALL(IF(LEFT(SUBSTITUTE('111 Wall_CTNR Schedule'!$H$8:$H$40," ","")&amp;",",LEN($C23&amp;"")+1)=$C23&amp;",",ROW('111 Wall_CTNR Schedule'!$H$8:$H$40)-ROW('111 Wall_CTNR Schedule'!$H$8)+1),COLUMNS($D23:J23))),"")</f>
        <v/>
      </c>
      <c r="L23" t="str" cm="1">
        <f t="array" ref="L23">IFERROR("CTN " &amp; INDEX('111 Wall_CTNR Schedule'!$E$8:$E$40,SMALL(IF(LEFT(SUBSTITUTE('111 Wall_CTNR Schedule'!$H$8:$H$40," ","")&amp;",",LEN($C23&amp;"")+1)=$C23&amp;",",ROW('111 Wall_CTNR Schedule'!$H$8:$H$40)-ROW('111 Wall_CTNR Schedule'!$H$8)+1),COLUMNS($D23:K23))),"")</f>
        <v/>
      </c>
      <c r="M23" t="str" cm="1">
        <f t="array" ref="M23">IFERROR("CTN " &amp; INDEX('111 Wall_CTNR Schedule'!$E$8:$E$40,SMALL(IF(LEFT(SUBSTITUTE('111 Wall_CTNR Schedule'!$H$8:$H$40," ","")&amp;",",LEN($C23&amp;"")+1)=$C23&amp;",",ROW('111 Wall_CTNR Schedule'!$H$8:$H$40)-ROW('111 Wall_CTNR Schedule'!$H$8)+1),COLUMNS($D23:L23))),"")</f>
        <v/>
      </c>
      <c r="N23" t="str" cm="1">
        <f t="array" ref="N23">IFERROR("CTN " &amp; INDEX('111 Wall_CTNR Schedule'!$E$8:$E$40,SMALL(IF(LEFT(SUBSTITUTE('111 Wall_CTNR Schedule'!$H$8:$H$40," ","")&amp;",",LEN($C23&amp;"")+1)=$C23&amp;",",ROW('111 Wall_CTNR Schedule'!$H$8:$H$40)-ROW('111 Wall_CTNR Schedule'!$H$8)+1),COLUMNS($D23:M23))),"")</f>
        <v/>
      </c>
    </row>
    <row r="24" spans="2:14" x14ac:dyDescent="0.2">
      <c r="B24" s="363"/>
      <c r="C24" s="328">
        <v>21</v>
      </c>
      <c r="D24" s="343">
        <v>46538</v>
      </c>
      <c r="E24" s="328" t="str" cm="1">
        <f t="array" ref="E24">IFERROR("CTN " &amp; INDEX('111 Wall_CTNR Schedule'!$E$8:$E$40,SMALL(IF(LEFT(SUBSTITUTE('111 Wall_CTNR Schedule'!$H$8:$H$40," ","")&amp;",",LEN($C24&amp;"")+1)=$C24&amp;",",ROW('111 Wall_CTNR Schedule'!$H$8:$H$40)-ROW('111 Wall_CTNR Schedule'!$H$8)+1),COLUMNS($D24:D24))),"")</f>
        <v/>
      </c>
      <c r="F24" s="328" t="str" cm="1">
        <f t="array" ref="F24">IFERROR("CTN " &amp; INDEX('111 Wall_CTNR Schedule'!$E$8:$E$40,SMALL(IF(LEFT(SUBSTITUTE('111 Wall_CTNR Schedule'!$H$8:$H$40," ","")&amp;",",LEN($C24&amp;"")+1)=$C24&amp;",",ROW('111 Wall_CTNR Schedule'!$H$8:$H$40)-ROW('111 Wall_CTNR Schedule'!$H$8)+1),COLUMNS($D24:E24))),"")</f>
        <v/>
      </c>
      <c r="G24" s="328" t="str" cm="1">
        <f t="array" ref="G24">IFERROR("CTN " &amp; INDEX('111 Wall_CTNR Schedule'!$E$8:$E$40,SMALL(IF(LEFT(SUBSTITUTE('111 Wall_CTNR Schedule'!$H$8:$H$40," ","")&amp;",",LEN($C24&amp;"")+1)=$C24&amp;",",ROW('111 Wall_CTNR Schedule'!$H$8:$H$40)-ROW('111 Wall_CTNR Schedule'!$H$8)+1),COLUMNS($D24:F24))),"")</f>
        <v/>
      </c>
      <c r="H24" s="338" t="str" cm="1">
        <f t="array" ref="H24">IFERROR("CTN " &amp; INDEX('111 Wall_CTNR Schedule'!$E$8:$E$40,SMALL(IF(LEFT(SUBSTITUTE('111 Wall_CTNR Schedule'!$H$8:$H$40," ","")&amp;",",LEN($C24&amp;"")+1)=$C24&amp;",",ROW('111 Wall_CTNR Schedule'!$H$8:$H$40)-ROW('111 Wall_CTNR Schedule'!$H$8)+1),COLUMNS($D24:G24))),"")</f>
        <v/>
      </c>
      <c r="I24" t="str" cm="1">
        <f t="array" ref="I24">IFERROR("CTN " &amp; INDEX('111 Wall_CTNR Schedule'!$E$8:$E$40,SMALL(IF(LEFT(SUBSTITUTE('111 Wall_CTNR Schedule'!$H$8:$H$40," ","")&amp;",",LEN($C24&amp;"")+1)=$C24&amp;",",ROW('111 Wall_CTNR Schedule'!$H$8:$H$40)-ROW('111 Wall_CTNR Schedule'!$H$8)+1),COLUMNS($D24:H24))),"")</f>
        <v/>
      </c>
      <c r="J24" t="str" cm="1">
        <f t="array" ref="J24">IFERROR("CTN " &amp; INDEX('111 Wall_CTNR Schedule'!$E$8:$E$40,SMALL(IF(LEFT(SUBSTITUTE('111 Wall_CTNR Schedule'!$H$8:$H$40," ","")&amp;",",LEN($C24&amp;"")+1)=$C24&amp;",",ROW('111 Wall_CTNR Schedule'!$H$8:$H$40)-ROW('111 Wall_CTNR Schedule'!$H$8)+1),COLUMNS($D24:I24))),"")</f>
        <v/>
      </c>
      <c r="K24" t="str" cm="1">
        <f t="array" ref="K24">IFERROR("CTN " &amp; INDEX('111 Wall_CTNR Schedule'!$E$8:$E$40,SMALL(IF(LEFT(SUBSTITUTE('111 Wall_CTNR Schedule'!$H$8:$H$40," ","")&amp;",",LEN($C24&amp;"")+1)=$C24&amp;",",ROW('111 Wall_CTNR Schedule'!$H$8:$H$40)-ROW('111 Wall_CTNR Schedule'!$H$8)+1),COLUMNS($D24:J24))),"")</f>
        <v/>
      </c>
      <c r="L24" t="str" cm="1">
        <f t="array" ref="L24">IFERROR("CTN " &amp; INDEX('111 Wall_CTNR Schedule'!$E$8:$E$40,SMALL(IF(LEFT(SUBSTITUTE('111 Wall_CTNR Schedule'!$H$8:$H$40," ","")&amp;",",LEN($C24&amp;"")+1)=$C24&amp;",",ROW('111 Wall_CTNR Schedule'!$H$8:$H$40)-ROW('111 Wall_CTNR Schedule'!$H$8)+1),COLUMNS($D24:K24))),"")</f>
        <v/>
      </c>
      <c r="M24" t="str" cm="1">
        <f t="array" ref="M24">IFERROR("CTN " &amp; INDEX('111 Wall_CTNR Schedule'!$E$8:$E$40,SMALL(IF(LEFT(SUBSTITUTE('111 Wall_CTNR Schedule'!$H$8:$H$40," ","")&amp;",",LEN($C24&amp;"")+1)=$C24&amp;",",ROW('111 Wall_CTNR Schedule'!$H$8:$H$40)-ROW('111 Wall_CTNR Schedule'!$H$8)+1),COLUMNS($D24:L24))),"")</f>
        <v/>
      </c>
      <c r="N24" t="str" cm="1">
        <f t="array" ref="N24">IFERROR("CTN " &amp; INDEX('111 Wall_CTNR Schedule'!$E$8:$E$40,SMALL(IF(LEFT(SUBSTITUTE('111 Wall_CTNR Schedule'!$H$8:$H$40," ","")&amp;",",LEN($C24&amp;"")+1)=$C24&amp;",",ROW('111 Wall_CTNR Schedule'!$H$8:$H$40)-ROW('111 Wall_CTNR Schedule'!$H$8)+1),COLUMNS($D24:M24))),"")</f>
        <v/>
      </c>
    </row>
    <row r="25" spans="2:14" x14ac:dyDescent="0.2">
      <c r="B25" s="363"/>
      <c r="C25" s="328">
        <v>22</v>
      </c>
      <c r="D25" s="343">
        <v>46552</v>
      </c>
      <c r="E25" s="328" t="str" cm="1">
        <f t="array" ref="E25">IFERROR("CTN " &amp; INDEX('111 Wall_CTNR Schedule'!$E$8:$E$40,SMALL(IF(LEFT(SUBSTITUTE('111 Wall_CTNR Schedule'!$H$8:$H$40," ","")&amp;",",LEN($C25&amp;"")+1)=$C25&amp;",",ROW('111 Wall_CTNR Schedule'!$H$8:$H$40)-ROW('111 Wall_CTNR Schedule'!$H$8)+1),COLUMNS($D25:D25))),"")</f>
        <v/>
      </c>
      <c r="F25" s="328" t="str" cm="1">
        <f t="array" ref="F25">IFERROR("CTN " &amp; INDEX('111 Wall_CTNR Schedule'!$E$8:$E$40,SMALL(IF(LEFT(SUBSTITUTE('111 Wall_CTNR Schedule'!$H$8:$H$40," ","")&amp;",",LEN($C25&amp;"")+1)=$C25&amp;",",ROW('111 Wall_CTNR Schedule'!$H$8:$H$40)-ROW('111 Wall_CTNR Schedule'!$H$8)+1),COLUMNS($D25:E25))),"")</f>
        <v/>
      </c>
      <c r="G25" s="328" t="str" cm="1">
        <f t="array" ref="G25">IFERROR("CTN " &amp; INDEX('111 Wall_CTNR Schedule'!$E$8:$E$40,SMALL(IF(LEFT(SUBSTITUTE('111 Wall_CTNR Schedule'!$H$8:$H$40," ","")&amp;",",LEN($C25&amp;"")+1)=$C25&amp;",",ROW('111 Wall_CTNR Schedule'!$H$8:$H$40)-ROW('111 Wall_CTNR Schedule'!$H$8)+1),COLUMNS($D25:F25))),"")</f>
        <v/>
      </c>
      <c r="H25" s="338" t="str" cm="1">
        <f t="array" ref="H25">IFERROR("CTN " &amp; INDEX('111 Wall_CTNR Schedule'!$E$8:$E$40,SMALL(IF(LEFT(SUBSTITUTE('111 Wall_CTNR Schedule'!$H$8:$H$40," ","")&amp;",",LEN($C25&amp;"")+1)=$C25&amp;",",ROW('111 Wall_CTNR Schedule'!$H$8:$H$40)-ROW('111 Wall_CTNR Schedule'!$H$8)+1),COLUMNS($D25:G25))),"")</f>
        <v/>
      </c>
      <c r="I25" t="str" cm="1">
        <f t="array" ref="I25">IFERROR("CTN " &amp; INDEX('111 Wall_CTNR Schedule'!$E$8:$E$40,SMALL(IF(LEFT(SUBSTITUTE('111 Wall_CTNR Schedule'!$H$8:$H$40," ","")&amp;",",LEN($C25&amp;"")+1)=$C25&amp;",",ROW('111 Wall_CTNR Schedule'!$H$8:$H$40)-ROW('111 Wall_CTNR Schedule'!$H$8)+1),COLUMNS($D25:H25))),"")</f>
        <v/>
      </c>
      <c r="J25" t="str" cm="1">
        <f t="array" ref="J25">IFERROR("CTN " &amp; INDEX('111 Wall_CTNR Schedule'!$E$8:$E$40,SMALL(IF(LEFT(SUBSTITUTE('111 Wall_CTNR Schedule'!$H$8:$H$40," ","")&amp;",",LEN($C25&amp;"")+1)=$C25&amp;",",ROW('111 Wall_CTNR Schedule'!$H$8:$H$40)-ROW('111 Wall_CTNR Schedule'!$H$8)+1),COLUMNS($D25:I25))),"")</f>
        <v/>
      </c>
      <c r="K25" t="str" cm="1">
        <f t="array" ref="K25">IFERROR("CTN " &amp; INDEX('111 Wall_CTNR Schedule'!$E$8:$E$40,SMALL(IF(LEFT(SUBSTITUTE('111 Wall_CTNR Schedule'!$H$8:$H$40," ","")&amp;",",LEN($C25&amp;"")+1)=$C25&amp;",",ROW('111 Wall_CTNR Schedule'!$H$8:$H$40)-ROW('111 Wall_CTNR Schedule'!$H$8)+1),COLUMNS($D25:J25))),"")</f>
        <v/>
      </c>
      <c r="L25" t="str" cm="1">
        <f t="array" ref="L25">IFERROR("CTN " &amp; INDEX('111 Wall_CTNR Schedule'!$E$8:$E$40,SMALL(IF(LEFT(SUBSTITUTE('111 Wall_CTNR Schedule'!$H$8:$H$40," ","")&amp;",",LEN($C25&amp;"")+1)=$C25&amp;",",ROW('111 Wall_CTNR Schedule'!$H$8:$H$40)-ROW('111 Wall_CTNR Schedule'!$H$8)+1),COLUMNS($D25:K25))),"")</f>
        <v/>
      </c>
      <c r="M25" t="str" cm="1">
        <f t="array" ref="M25">IFERROR("CTN " &amp; INDEX('111 Wall_CTNR Schedule'!$E$8:$E$40,SMALL(IF(LEFT(SUBSTITUTE('111 Wall_CTNR Schedule'!$H$8:$H$40," ","")&amp;",",LEN($C25&amp;"")+1)=$C25&amp;",",ROW('111 Wall_CTNR Schedule'!$H$8:$H$40)-ROW('111 Wall_CTNR Schedule'!$H$8)+1),COLUMNS($D25:L25))),"")</f>
        <v/>
      </c>
      <c r="N25" t="str" cm="1">
        <f t="array" ref="N25">IFERROR("CTN " &amp; INDEX('111 Wall_CTNR Schedule'!$E$8:$E$40,SMALL(IF(LEFT(SUBSTITUTE('111 Wall_CTNR Schedule'!$H$8:$H$40," ","")&amp;",",LEN($C25&amp;"")+1)=$C25&amp;",",ROW('111 Wall_CTNR Schedule'!$H$8:$H$40)-ROW('111 Wall_CTNR Schedule'!$H$8)+1),COLUMNS($D25:M25))),"")</f>
        <v/>
      </c>
    </row>
    <row r="26" spans="2:14" ht="15" thickBot="1" x14ac:dyDescent="0.25">
      <c r="B26" s="364"/>
      <c r="C26" s="339">
        <v>23</v>
      </c>
      <c r="D26" s="344">
        <v>46566</v>
      </c>
      <c r="E26" s="339" t="str" cm="1">
        <f t="array" ref="E26">IFERROR("CTN " &amp; INDEX('111 Wall_CTNR Schedule'!$E$8:$E$40,SMALL(IF(LEFT(SUBSTITUTE('111 Wall_CTNR Schedule'!$H$8:$H$40," ","")&amp;",",LEN($C26&amp;"")+1)=$C26&amp;",",ROW('111 Wall_CTNR Schedule'!$H$8:$H$40)-ROW('111 Wall_CTNR Schedule'!$H$8)+1),COLUMNS($D26:D26))),"")</f>
        <v/>
      </c>
      <c r="F26" s="339" t="str" cm="1">
        <f t="array" ref="F26">IFERROR("CTN " &amp; INDEX('111 Wall_CTNR Schedule'!$E$8:$E$40,SMALL(IF(LEFT(SUBSTITUTE('111 Wall_CTNR Schedule'!$H$8:$H$40," ","")&amp;",",LEN($C26&amp;"")+1)=$C26&amp;",",ROW('111 Wall_CTNR Schedule'!$H$8:$H$40)-ROW('111 Wall_CTNR Schedule'!$H$8)+1),COLUMNS($D26:E26))),"")</f>
        <v/>
      </c>
      <c r="G26" s="339" t="str" cm="1">
        <f t="array" ref="G26">IFERROR("CTN " &amp; INDEX('111 Wall_CTNR Schedule'!$E$8:$E$40,SMALL(IF(LEFT(SUBSTITUTE('111 Wall_CTNR Schedule'!$H$8:$H$40," ","")&amp;",",LEN($C26&amp;"")+1)=$C26&amp;",",ROW('111 Wall_CTNR Schedule'!$H$8:$H$40)-ROW('111 Wall_CTNR Schedule'!$H$8)+1),COLUMNS($D26:F26))),"")</f>
        <v/>
      </c>
      <c r="H26" s="341" t="str" cm="1">
        <f t="array" ref="H26">IFERROR("CTN " &amp; INDEX('111 Wall_CTNR Schedule'!$E$8:$E$40,SMALL(IF(LEFT(SUBSTITUTE('111 Wall_CTNR Schedule'!$H$8:$H$40," ","")&amp;",",LEN($C26&amp;"")+1)=$C26&amp;",",ROW('111 Wall_CTNR Schedule'!$H$8:$H$40)-ROW('111 Wall_CTNR Schedule'!$H$8)+1),COLUMNS($D26:G26))),"")</f>
        <v/>
      </c>
      <c r="I26" t="str" cm="1">
        <f t="array" ref="I26">IFERROR("CTN " &amp; INDEX('111 Wall_CTNR Schedule'!$E$8:$E$40,SMALL(IF(LEFT(SUBSTITUTE('111 Wall_CTNR Schedule'!$H$8:$H$40," ","")&amp;",",LEN($C26&amp;"")+1)=$C26&amp;",",ROW('111 Wall_CTNR Schedule'!$H$8:$H$40)-ROW('111 Wall_CTNR Schedule'!$H$8)+1),COLUMNS($D26:H26))),"")</f>
        <v/>
      </c>
      <c r="J26" t="str" cm="1">
        <f t="array" ref="J26">IFERROR("CTN " &amp; INDEX('111 Wall_CTNR Schedule'!$E$8:$E$40,SMALL(IF(LEFT(SUBSTITUTE('111 Wall_CTNR Schedule'!$H$8:$H$40," ","")&amp;",",LEN($C26&amp;"")+1)=$C26&amp;",",ROW('111 Wall_CTNR Schedule'!$H$8:$H$40)-ROW('111 Wall_CTNR Schedule'!$H$8)+1),COLUMNS($D26:I26))),"")</f>
        <v/>
      </c>
      <c r="K26" t="str" cm="1">
        <f t="array" ref="K26">IFERROR("CTN " &amp; INDEX('111 Wall_CTNR Schedule'!$E$8:$E$40,SMALL(IF(LEFT(SUBSTITUTE('111 Wall_CTNR Schedule'!$H$8:$H$40," ","")&amp;",",LEN($C26&amp;"")+1)=$C26&amp;",",ROW('111 Wall_CTNR Schedule'!$H$8:$H$40)-ROW('111 Wall_CTNR Schedule'!$H$8)+1),COLUMNS($D26:J26))),"")</f>
        <v/>
      </c>
      <c r="L26" t="str" cm="1">
        <f t="array" ref="L26">IFERROR("CTN " &amp; INDEX('111 Wall_CTNR Schedule'!$E$8:$E$40,SMALL(IF(LEFT(SUBSTITUTE('111 Wall_CTNR Schedule'!$H$8:$H$40," ","")&amp;",",LEN($C26&amp;"")+1)=$C26&amp;",",ROW('111 Wall_CTNR Schedule'!$H$8:$H$40)-ROW('111 Wall_CTNR Schedule'!$H$8)+1),COLUMNS($D26:K26))),"")</f>
        <v/>
      </c>
      <c r="M26" t="str" cm="1">
        <f t="array" ref="M26">IFERROR("CTN " &amp; INDEX('111 Wall_CTNR Schedule'!$E$8:$E$40,SMALL(IF(LEFT(SUBSTITUTE('111 Wall_CTNR Schedule'!$H$8:$H$40," ","")&amp;",",LEN($C26&amp;"")+1)=$C26&amp;",",ROW('111 Wall_CTNR Schedule'!$H$8:$H$40)-ROW('111 Wall_CTNR Schedule'!$H$8)+1),COLUMNS($D26:L26))),"")</f>
        <v/>
      </c>
      <c r="N26" t="str" cm="1">
        <f t="array" ref="N26">IFERROR("CTN " &amp; INDEX('111 Wall_CTNR Schedule'!$E$8:$E$40,SMALL(IF(LEFT(SUBSTITUTE('111 Wall_CTNR Schedule'!$H$8:$H$40," ","")&amp;",",LEN($C26&amp;"")+1)=$C26&amp;",",ROW('111 Wall_CTNR Schedule'!$H$8:$H$40)-ROW('111 Wall_CTNR Schedule'!$H$8)+1),COLUMNS($D26:M26))),"")</f>
        <v/>
      </c>
    </row>
    <row r="27" spans="2:14" x14ac:dyDescent="0.2">
      <c r="B27" s="365" t="s">
        <v>106</v>
      </c>
      <c r="C27" s="335">
        <v>24</v>
      </c>
      <c r="D27" s="336" t="str">
        <v>--</v>
      </c>
      <c r="E27" s="335" t="str" cm="1">
        <f t="array" ref="E27">IFERROR("CTN " &amp; INDEX('111 Wall_CTNR Schedule'!$E$8:$E$40,SMALL(IF(LEFT(SUBSTITUTE('111 Wall_CTNR Schedule'!$H$8:$H$40," ","")&amp;",",LEN($C27&amp;"")+1)=$C27&amp;",",ROW('111 Wall_CTNR Schedule'!$H$8:$H$40)-ROW('111 Wall_CTNR Schedule'!$H$8)+1),COLUMNS($D27:D27))),"")</f>
        <v/>
      </c>
      <c r="F27" s="335" t="str" cm="1">
        <f t="array" ref="F27">IFERROR("CTN " &amp; INDEX('111 Wall_CTNR Schedule'!$E$8:$E$40,SMALL(IF(LEFT(SUBSTITUTE('111 Wall_CTNR Schedule'!$H$8:$H$40," ","")&amp;",",LEN($C27&amp;"")+1)=$C27&amp;",",ROW('111 Wall_CTNR Schedule'!$H$8:$H$40)-ROW('111 Wall_CTNR Schedule'!$H$8)+1),COLUMNS($D27:E27))),"")</f>
        <v/>
      </c>
      <c r="G27" s="335" t="str" cm="1">
        <f t="array" ref="G27">IFERROR("CTN " &amp; INDEX('111 Wall_CTNR Schedule'!$E$8:$E$40,SMALL(IF(LEFT(SUBSTITUTE('111 Wall_CTNR Schedule'!$H$8:$H$40," ","")&amp;",",LEN($C27&amp;"")+1)=$C27&amp;",",ROW('111 Wall_CTNR Schedule'!$H$8:$H$40)-ROW('111 Wall_CTNR Schedule'!$H$8)+1),COLUMNS($D27:F27))),"")</f>
        <v/>
      </c>
      <c r="H27" s="337" t="str" cm="1">
        <f t="array" ref="H27">IFERROR("CTN " &amp; INDEX('111 Wall_CTNR Schedule'!$E$8:$E$40,SMALL(IF(LEFT(SUBSTITUTE('111 Wall_CTNR Schedule'!$H$8:$H$40," ","")&amp;",",LEN($C27&amp;"")+1)=$C27&amp;",",ROW('111 Wall_CTNR Schedule'!$H$8:$H$40)-ROW('111 Wall_CTNR Schedule'!$H$8)+1),COLUMNS($D27:G27))),"")</f>
        <v/>
      </c>
      <c r="I27" t="str" cm="1">
        <f t="array" ref="I27">IFERROR("CTN " &amp; INDEX('111 Wall_CTNR Schedule'!$E$8:$E$40,SMALL(IF(LEFT(SUBSTITUTE('111 Wall_CTNR Schedule'!$H$8:$H$40," ","")&amp;",",LEN($C27&amp;"")+1)=$C27&amp;",",ROW('111 Wall_CTNR Schedule'!$H$8:$H$40)-ROW('111 Wall_CTNR Schedule'!$H$8)+1),COLUMNS($D27:H27))),"")</f>
        <v/>
      </c>
      <c r="J27" t="str" cm="1">
        <f t="array" ref="J27">IFERROR("CTN " &amp; INDEX('111 Wall_CTNR Schedule'!$E$8:$E$40,SMALL(IF(LEFT(SUBSTITUTE('111 Wall_CTNR Schedule'!$H$8:$H$40," ","")&amp;",",LEN($C27&amp;"")+1)=$C27&amp;",",ROW('111 Wall_CTNR Schedule'!$H$8:$H$40)-ROW('111 Wall_CTNR Schedule'!$H$8)+1),COLUMNS($D27:I27))),"")</f>
        <v/>
      </c>
      <c r="K27" t="str" cm="1">
        <f t="array" ref="K27">IFERROR("CTN " &amp; INDEX('111 Wall_CTNR Schedule'!$E$8:$E$40,SMALL(IF(LEFT(SUBSTITUTE('111 Wall_CTNR Schedule'!$H$8:$H$40," ","")&amp;",",LEN($C27&amp;"")+1)=$C27&amp;",",ROW('111 Wall_CTNR Schedule'!$H$8:$H$40)-ROW('111 Wall_CTNR Schedule'!$H$8)+1),COLUMNS($D27:J27))),"")</f>
        <v/>
      </c>
      <c r="L27" t="str" cm="1">
        <f t="array" ref="L27">IFERROR("CTN " &amp; INDEX('111 Wall_CTNR Schedule'!$E$8:$E$40,SMALL(IF(LEFT(SUBSTITUTE('111 Wall_CTNR Schedule'!$H$8:$H$40," ","")&amp;",",LEN($C27&amp;"")+1)=$C27&amp;",",ROW('111 Wall_CTNR Schedule'!$H$8:$H$40)-ROW('111 Wall_CTNR Schedule'!$H$8)+1),COLUMNS($D27:K27))),"")</f>
        <v/>
      </c>
      <c r="M27" t="str" cm="1">
        <f t="array" ref="M27">IFERROR("CTN " &amp; INDEX('111 Wall_CTNR Schedule'!$E$8:$E$40,SMALL(IF(LEFT(SUBSTITUTE('111 Wall_CTNR Schedule'!$H$8:$H$40," ","")&amp;",",LEN($C27&amp;"")+1)=$C27&amp;",",ROW('111 Wall_CTNR Schedule'!$H$8:$H$40)-ROW('111 Wall_CTNR Schedule'!$H$8)+1),COLUMNS($D27:L27))),"")</f>
        <v/>
      </c>
      <c r="N27" t="str" cm="1">
        <f t="array" ref="N27">IFERROR("CTN " &amp; INDEX('111 Wall_CTNR Schedule'!$E$8:$E$40,SMALL(IF(LEFT(SUBSTITUTE('111 Wall_CTNR Schedule'!$H$8:$H$40," ","")&amp;",",LEN($C27&amp;"")+1)=$C27&amp;",",ROW('111 Wall_CTNR Schedule'!$H$8:$H$40)-ROW('111 Wall_CTNR Schedule'!$H$8)+1),COLUMNS($D27:M27))),"")</f>
        <v/>
      </c>
    </row>
    <row r="28" spans="2:14" x14ac:dyDescent="0.2">
      <c r="B28" s="366"/>
      <c r="C28" s="328">
        <v>25</v>
      </c>
      <c r="D28" s="329" t="str">
        <v>--</v>
      </c>
      <c r="E28" s="328" t="str" cm="1">
        <f t="array" ref="E28">IFERROR("CTN " &amp; INDEX('111 Wall_CTNR Schedule'!$E$8:$E$40,SMALL(IF(LEFT(SUBSTITUTE('111 Wall_CTNR Schedule'!$H$8:$H$40," ","")&amp;",",LEN($C28&amp;"")+1)=$C28&amp;",",ROW('111 Wall_CTNR Schedule'!$H$8:$H$40)-ROW('111 Wall_CTNR Schedule'!$H$8)+1),COLUMNS($D28:D28))),"")</f>
        <v/>
      </c>
      <c r="F28" s="328" t="str" cm="1">
        <f t="array" ref="F28">IFERROR("CTN " &amp; INDEX('111 Wall_CTNR Schedule'!$E$8:$E$40,SMALL(IF(LEFT(SUBSTITUTE('111 Wall_CTNR Schedule'!$H$8:$H$40," ","")&amp;",",LEN($C28&amp;"")+1)=$C28&amp;",",ROW('111 Wall_CTNR Schedule'!$H$8:$H$40)-ROW('111 Wall_CTNR Schedule'!$H$8)+1),COLUMNS($D28:E28))),"")</f>
        <v/>
      </c>
      <c r="G28" s="328" t="str" cm="1">
        <f t="array" ref="G28">IFERROR("CTN " &amp; INDEX('111 Wall_CTNR Schedule'!$E$8:$E$40,SMALL(IF(LEFT(SUBSTITUTE('111 Wall_CTNR Schedule'!$H$8:$H$40," ","")&amp;",",LEN($C28&amp;"")+1)=$C28&amp;",",ROW('111 Wall_CTNR Schedule'!$H$8:$H$40)-ROW('111 Wall_CTNR Schedule'!$H$8)+1),COLUMNS($D28:F28))),"")</f>
        <v/>
      </c>
      <c r="H28" s="338" t="str" cm="1">
        <f t="array" ref="H28">IFERROR("CTN " &amp; INDEX('111 Wall_CTNR Schedule'!$E$8:$E$40,SMALL(IF(LEFT(SUBSTITUTE('111 Wall_CTNR Schedule'!$H$8:$H$40," ","")&amp;",",LEN($C28&amp;"")+1)=$C28&amp;",",ROW('111 Wall_CTNR Schedule'!$H$8:$H$40)-ROW('111 Wall_CTNR Schedule'!$H$8)+1),COLUMNS($D28:G28))),"")</f>
        <v/>
      </c>
      <c r="I28" t="str" cm="1">
        <f t="array" ref="I28">IFERROR("CTN " &amp; INDEX('111 Wall_CTNR Schedule'!$E$8:$E$40,SMALL(IF(LEFT(SUBSTITUTE('111 Wall_CTNR Schedule'!$H$8:$H$40," ","")&amp;",",LEN($C28&amp;"")+1)=$C28&amp;",",ROW('111 Wall_CTNR Schedule'!$H$8:$H$40)-ROW('111 Wall_CTNR Schedule'!$H$8)+1),COLUMNS($D28:H28))),"")</f>
        <v/>
      </c>
      <c r="J28" t="str" cm="1">
        <f t="array" ref="J28">IFERROR("CTN " &amp; INDEX('111 Wall_CTNR Schedule'!$E$8:$E$40,SMALL(IF(LEFT(SUBSTITUTE('111 Wall_CTNR Schedule'!$H$8:$H$40," ","")&amp;",",LEN($C28&amp;"")+1)=$C28&amp;",",ROW('111 Wall_CTNR Schedule'!$H$8:$H$40)-ROW('111 Wall_CTNR Schedule'!$H$8)+1),COLUMNS($D28:I28))),"")</f>
        <v/>
      </c>
      <c r="K28" t="str" cm="1">
        <f t="array" ref="K28">IFERROR("CTN " &amp; INDEX('111 Wall_CTNR Schedule'!$E$8:$E$40,SMALL(IF(LEFT(SUBSTITUTE('111 Wall_CTNR Schedule'!$H$8:$H$40," ","")&amp;",",LEN($C28&amp;"")+1)=$C28&amp;",",ROW('111 Wall_CTNR Schedule'!$H$8:$H$40)-ROW('111 Wall_CTNR Schedule'!$H$8)+1),COLUMNS($D28:J28))),"")</f>
        <v/>
      </c>
      <c r="L28" t="str" cm="1">
        <f t="array" ref="L28">IFERROR("CTN " &amp; INDEX('111 Wall_CTNR Schedule'!$E$8:$E$40,SMALL(IF(LEFT(SUBSTITUTE('111 Wall_CTNR Schedule'!$H$8:$H$40," ","")&amp;",",LEN($C28&amp;"")+1)=$C28&amp;",",ROW('111 Wall_CTNR Schedule'!$H$8:$H$40)-ROW('111 Wall_CTNR Schedule'!$H$8)+1),COLUMNS($D28:K28))),"")</f>
        <v/>
      </c>
      <c r="M28" t="str" cm="1">
        <f t="array" ref="M28">IFERROR("CTN " &amp; INDEX('111 Wall_CTNR Schedule'!$E$8:$E$40,SMALL(IF(LEFT(SUBSTITUTE('111 Wall_CTNR Schedule'!$H$8:$H$40," ","")&amp;",",LEN($C28&amp;"")+1)=$C28&amp;",",ROW('111 Wall_CTNR Schedule'!$H$8:$H$40)-ROW('111 Wall_CTNR Schedule'!$H$8)+1),COLUMNS($D28:L28))),"")</f>
        <v/>
      </c>
      <c r="N28" t="str" cm="1">
        <f t="array" ref="N28">IFERROR("CTN " &amp; INDEX('111 Wall_CTNR Schedule'!$E$8:$E$40,SMALL(IF(LEFT(SUBSTITUTE('111 Wall_CTNR Schedule'!$H$8:$H$40," ","")&amp;",",LEN($C28&amp;"")+1)=$C28&amp;",",ROW('111 Wall_CTNR Schedule'!$H$8:$H$40)-ROW('111 Wall_CTNR Schedule'!$H$8)+1),COLUMNS($D28:M28))),"")</f>
        <v/>
      </c>
    </row>
    <row r="29" spans="2:14" x14ac:dyDescent="0.2">
      <c r="B29" s="366"/>
      <c r="C29" s="328">
        <v>26</v>
      </c>
      <c r="D29" s="329" t="str">
        <v>--</v>
      </c>
      <c r="E29" s="328" t="str" cm="1">
        <f t="array" ref="E29">IFERROR("CTN " &amp; INDEX('111 Wall_CTNR Schedule'!$E$8:$E$40,SMALL(IF(LEFT(SUBSTITUTE('111 Wall_CTNR Schedule'!$H$8:$H$40," ","")&amp;",",LEN($C29&amp;"")+1)=$C29&amp;",",ROW('111 Wall_CTNR Schedule'!$H$8:$H$40)-ROW('111 Wall_CTNR Schedule'!$H$8)+1),COLUMNS($D29:D29))),"")</f>
        <v/>
      </c>
      <c r="F29" s="328" t="str" cm="1">
        <f t="array" ref="F29">IFERROR("CTN " &amp; INDEX('111 Wall_CTNR Schedule'!$E$8:$E$40,SMALL(IF(LEFT(SUBSTITUTE('111 Wall_CTNR Schedule'!$H$8:$H$40," ","")&amp;",",LEN($C29&amp;"")+1)=$C29&amp;",",ROW('111 Wall_CTNR Schedule'!$H$8:$H$40)-ROW('111 Wall_CTNR Schedule'!$H$8)+1),COLUMNS($D29:E29))),"")</f>
        <v/>
      </c>
      <c r="G29" s="328" t="str" cm="1">
        <f t="array" ref="G29">IFERROR("CTN " &amp; INDEX('111 Wall_CTNR Schedule'!$E$8:$E$40,SMALL(IF(LEFT(SUBSTITUTE('111 Wall_CTNR Schedule'!$H$8:$H$40," ","")&amp;",",LEN($C29&amp;"")+1)=$C29&amp;",",ROW('111 Wall_CTNR Schedule'!$H$8:$H$40)-ROW('111 Wall_CTNR Schedule'!$H$8)+1),COLUMNS($D29:F29))),"")</f>
        <v/>
      </c>
      <c r="H29" s="338" t="str" cm="1">
        <f t="array" ref="H29">IFERROR("CTN " &amp; INDEX('111 Wall_CTNR Schedule'!$E$8:$E$40,SMALL(IF(LEFT(SUBSTITUTE('111 Wall_CTNR Schedule'!$H$8:$H$40," ","")&amp;",",LEN($C29&amp;"")+1)=$C29&amp;",",ROW('111 Wall_CTNR Schedule'!$H$8:$H$40)-ROW('111 Wall_CTNR Schedule'!$H$8)+1),COLUMNS($D29:G29))),"")</f>
        <v/>
      </c>
      <c r="I29" t="str" cm="1">
        <f t="array" ref="I29">IFERROR("CTN " &amp; INDEX('111 Wall_CTNR Schedule'!$E$8:$E$40,SMALL(IF(LEFT(SUBSTITUTE('111 Wall_CTNR Schedule'!$H$8:$H$40," ","")&amp;",",LEN($C29&amp;"")+1)=$C29&amp;",",ROW('111 Wall_CTNR Schedule'!$H$8:$H$40)-ROW('111 Wall_CTNR Schedule'!$H$8)+1),COLUMNS($D29:H29))),"")</f>
        <v/>
      </c>
      <c r="J29" t="str" cm="1">
        <f t="array" ref="J29">IFERROR("CTN " &amp; INDEX('111 Wall_CTNR Schedule'!$E$8:$E$40,SMALL(IF(LEFT(SUBSTITUTE('111 Wall_CTNR Schedule'!$H$8:$H$40," ","")&amp;",",LEN($C29&amp;"")+1)=$C29&amp;",",ROW('111 Wall_CTNR Schedule'!$H$8:$H$40)-ROW('111 Wall_CTNR Schedule'!$H$8)+1),COLUMNS($D29:I29))),"")</f>
        <v/>
      </c>
      <c r="K29" t="str" cm="1">
        <f t="array" ref="K29">IFERROR("CTN " &amp; INDEX('111 Wall_CTNR Schedule'!$E$8:$E$40,SMALL(IF(LEFT(SUBSTITUTE('111 Wall_CTNR Schedule'!$H$8:$H$40," ","")&amp;",",LEN($C29&amp;"")+1)=$C29&amp;",",ROW('111 Wall_CTNR Schedule'!$H$8:$H$40)-ROW('111 Wall_CTNR Schedule'!$H$8)+1),COLUMNS($D29:J29))),"")</f>
        <v/>
      </c>
      <c r="L29" t="str" cm="1">
        <f t="array" ref="L29">IFERROR("CTN " &amp; INDEX('111 Wall_CTNR Schedule'!$E$8:$E$40,SMALL(IF(LEFT(SUBSTITUTE('111 Wall_CTNR Schedule'!$H$8:$H$40," ","")&amp;",",LEN($C29&amp;"")+1)=$C29&amp;",",ROW('111 Wall_CTNR Schedule'!$H$8:$H$40)-ROW('111 Wall_CTNR Schedule'!$H$8)+1),COLUMNS($D29:K29))),"")</f>
        <v/>
      </c>
      <c r="M29" t="str" cm="1">
        <f t="array" ref="M29">IFERROR("CTN " &amp; INDEX('111 Wall_CTNR Schedule'!$E$8:$E$40,SMALL(IF(LEFT(SUBSTITUTE('111 Wall_CTNR Schedule'!$H$8:$H$40," ","")&amp;",",LEN($C29&amp;"")+1)=$C29&amp;",",ROW('111 Wall_CTNR Schedule'!$H$8:$H$40)-ROW('111 Wall_CTNR Schedule'!$H$8)+1),COLUMNS($D29:L29))),"")</f>
        <v/>
      </c>
      <c r="N29" t="str" cm="1">
        <f t="array" ref="N29">IFERROR("CTN " &amp; INDEX('111 Wall_CTNR Schedule'!$E$8:$E$40,SMALL(IF(LEFT(SUBSTITUTE('111 Wall_CTNR Schedule'!$H$8:$H$40," ","")&amp;",",LEN($C29&amp;"")+1)=$C29&amp;",",ROW('111 Wall_CTNR Schedule'!$H$8:$H$40)-ROW('111 Wall_CTNR Schedule'!$H$8)+1),COLUMNS($D29:M29))),"")</f>
        <v/>
      </c>
    </row>
    <row r="30" spans="2:14" x14ac:dyDescent="0.2">
      <c r="B30" s="366"/>
      <c r="C30" s="328">
        <v>27</v>
      </c>
      <c r="D30" s="329" t="str">
        <v>--</v>
      </c>
      <c r="E30" s="328" t="str" cm="1">
        <f t="array" ref="E30">IFERROR("CTN " &amp; INDEX('111 Wall_CTNR Schedule'!$E$8:$E$40,SMALL(IF(LEFT(SUBSTITUTE('111 Wall_CTNR Schedule'!$H$8:$H$40," ","")&amp;",",LEN($C30&amp;"")+1)=$C30&amp;",",ROW('111 Wall_CTNR Schedule'!$H$8:$H$40)-ROW('111 Wall_CTNR Schedule'!$H$8)+1),COLUMNS($D30:D30))),"")</f>
        <v/>
      </c>
      <c r="F30" s="328" t="str" cm="1">
        <f t="array" ref="F30">IFERROR("CTN " &amp; INDEX('111 Wall_CTNR Schedule'!$E$8:$E$40,SMALL(IF(LEFT(SUBSTITUTE('111 Wall_CTNR Schedule'!$H$8:$H$40," ","")&amp;",",LEN($C30&amp;"")+1)=$C30&amp;",",ROW('111 Wall_CTNR Schedule'!$H$8:$H$40)-ROW('111 Wall_CTNR Schedule'!$H$8)+1),COLUMNS($D30:E30))),"")</f>
        <v/>
      </c>
      <c r="G30" s="328" t="str" cm="1">
        <f t="array" ref="G30">IFERROR("CTN " &amp; INDEX('111 Wall_CTNR Schedule'!$E$8:$E$40,SMALL(IF(LEFT(SUBSTITUTE('111 Wall_CTNR Schedule'!$H$8:$H$40," ","")&amp;",",LEN($C30&amp;"")+1)=$C30&amp;",",ROW('111 Wall_CTNR Schedule'!$H$8:$H$40)-ROW('111 Wall_CTNR Schedule'!$H$8)+1),COLUMNS($D30:F30))),"")</f>
        <v/>
      </c>
      <c r="H30" s="338" t="str" cm="1">
        <f t="array" ref="H30">IFERROR("CTN " &amp; INDEX('111 Wall_CTNR Schedule'!$E$8:$E$40,SMALL(IF(LEFT(SUBSTITUTE('111 Wall_CTNR Schedule'!$H$8:$H$40," ","")&amp;",",LEN($C30&amp;"")+1)=$C30&amp;",",ROW('111 Wall_CTNR Schedule'!$H$8:$H$40)-ROW('111 Wall_CTNR Schedule'!$H$8)+1),COLUMNS($D30:G30))),"")</f>
        <v/>
      </c>
      <c r="I30" t="str" cm="1">
        <f t="array" ref="I30">IFERROR("CTN " &amp; INDEX('111 Wall_CTNR Schedule'!$E$8:$E$40,SMALL(IF(LEFT(SUBSTITUTE('111 Wall_CTNR Schedule'!$H$8:$H$40," ","")&amp;",",LEN($C30&amp;"")+1)=$C30&amp;",",ROW('111 Wall_CTNR Schedule'!$H$8:$H$40)-ROW('111 Wall_CTNR Schedule'!$H$8)+1),COLUMNS($D30:H30))),"")</f>
        <v/>
      </c>
      <c r="J30" t="str" cm="1">
        <f t="array" ref="J30">IFERROR("CTN " &amp; INDEX('111 Wall_CTNR Schedule'!$E$8:$E$40,SMALL(IF(LEFT(SUBSTITUTE('111 Wall_CTNR Schedule'!$H$8:$H$40," ","")&amp;",",LEN($C30&amp;"")+1)=$C30&amp;",",ROW('111 Wall_CTNR Schedule'!$H$8:$H$40)-ROW('111 Wall_CTNR Schedule'!$H$8)+1),COLUMNS($D30:I30))),"")</f>
        <v/>
      </c>
      <c r="K30" t="str" cm="1">
        <f t="array" ref="K30">IFERROR("CTN " &amp; INDEX('111 Wall_CTNR Schedule'!$E$8:$E$40,SMALL(IF(LEFT(SUBSTITUTE('111 Wall_CTNR Schedule'!$H$8:$H$40," ","")&amp;",",LEN($C30&amp;"")+1)=$C30&amp;",",ROW('111 Wall_CTNR Schedule'!$H$8:$H$40)-ROW('111 Wall_CTNR Schedule'!$H$8)+1),COLUMNS($D30:J30))),"")</f>
        <v/>
      </c>
      <c r="L30" t="str" cm="1">
        <f t="array" ref="L30">IFERROR("CTN " &amp; INDEX('111 Wall_CTNR Schedule'!$E$8:$E$40,SMALL(IF(LEFT(SUBSTITUTE('111 Wall_CTNR Schedule'!$H$8:$H$40," ","")&amp;",",LEN($C30&amp;"")+1)=$C30&amp;",",ROW('111 Wall_CTNR Schedule'!$H$8:$H$40)-ROW('111 Wall_CTNR Schedule'!$H$8)+1),COLUMNS($D30:K30))),"")</f>
        <v/>
      </c>
      <c r="M30" t="str" cm="1">
        <f t="array" ref="M30">IFERROR("CTN " &amp; INDEX('111 Wall_CTNR Schedule'!$E$8:$E$40,SMALL(IF(LEFT(SUBSTITUTE('111 Wall_CTNR Schedule'!$H$8:$H$40," ","")&amp;",",LEN($C30&amp;"")+1)=$C30&amp;",",ROW('111 Wall_CTNR Schedule'!$H$8:$H$40)-ROW('111 Wall_CTNR Schedule'!$H$8)+1),COLUMNS($D30:L30))),"")</f>
        <v/>
      </c>
      <c r="N30" t="str" cm="1">
        <f t="array" ref="N30">IFERROR("CTN " &amp; INDEX('111 Wall_CTNR Schedule'!$E$8:$E$40,SMALL(IF(LEFT(SUBSTITUTE('111 Wall_CTNR Schedule'!$H$8:$H$40," ","")&amp;",",LEN($C30&amp;"")+1)=$C30&amp;",",ROW('111 Wall_CTNR Schedule'!$H$8:$H$40)-ROW('111 Wall_CTNR Schedule'!$H$8)+1),COLUMNS($D30:M30))),"")</f>
        <v/>
      </c>
    </row>
    <row r="31" spans="2:14" x14ac:dyDescent="0.2">
      <c r="B31" s="366"/>
      <c r="C31" s="328">
        <v>28</v>
      </c>
      <c r="D31" s="329" t="str">
        <v>--</v>
      </c>
      <c r="E31" s="328" t="str" cm="1">
        <f t="array" ref="E31">IFERROR("CTN " &amp; INDEX('111 Wall_CTNR Schedule'!$E$8:$E$40,SMALL(IF(LEFT(SUBSTITUTE('111 Wall_CTNR Schedule'!$H$8:$H$40," ","")&amp;",",LEN($C31&amp;"")+1)=$C31&amp;",",ROW('111 Wall_CTNR Schedule'!$H$8:$H$40)-ROW('111 Wall_CTNR Schedule'!$H$8)+1),COLUMNS($D31:D31))),"")</f>
        <v/>
      </c>
      <c r="F31" s="328" t="str" cm="1">
        <f t="array" ref="F31">IFERROR("CTN " &amp; INDEX('111 Wall_CTNR Schedule'!$E$8:$E$40,SMALL(IF(LEFT(SUBSTITUTE('111 Wall_CTNR Schedule'!$H$8:$H$40," ","")&amp;",",LEN($C31&amp;"")+1)=$C31&amp;",",ROW('111 Wall_CTNR Schedule'!$H$8:$H$40)-ROW('111 Wall_CTNR Schedule'!$H$8)+1),COLUMNS($D31:E31))),"")</f>
        <v/>
      </c>
      <c r="G31" s="328" t="str" cm="1">
        <f t="array" ref="G31">IFERROR("CTN " &amp; INDEX('111 Wall_CTNR Schedule'!$E$8:$E$40,SMALL(IF(LEFT(SUBSTITUTE('111 Wall_CTNR Schedule'!$H$8:$H$40," ","")&amp;",",LEN($C31&amp;"")+1)=$C31&amp;",",ROW('111 Wall_CTNR Schedule'!$H$8:$H$40)-ROW('111 Wall_CTNR Schedule'!$H$8)+1),COLUMNS($D31:F31))),"")</f>
        <v/>
      </c>
      <c r="H31" s="338" t="str" cm="1">
        <f t="array" ref="H31">IFERROR("CTN " &amp; INDEX('111 Wall_CTNR Schedule'!$E$8:$E$40,SMALL(IF(LEFT(SUBSTITUTE('111 Wall_CTNR Schedule'!$H$8:$H$40," ","")&amp;",",LEN($C31&amp;"")+1)=$C31&amp;",",ROW('111 Wall_CTNR Schedule'!$H$8:$H$40)-ROW('111 Wall_CTNR Schedule'!$H$8)+1),COLUMNS($D31:G31))),"")</f>
        <v/>
      </c>
      <c r="I31" t="str" cm="1">
        <f t="array" ref="I31">IFERROR("CTN " &amp; INDEX('111 Wall_CTNR Schedule'!$E$8:$E$40,SMALL(IF(LEFT(SUBSTITUTE('111 Wall_CTNR Schedule'!$H$8:$H$40," ","")&amp;",",LEN($C31&amp;"")+1)=$C31&amp;",",ROW('111 Wall_CTNR Schedule'!$H$8:$H$40)-ROW('111 Wall_CTNR Schedule'!$H$8)+1),COLUMNS($D31:H31))),"")</f>
        <v/>
      </c>
      <c r="J31" t="str" cm="1">
        <f t="array" ref="J31">IFERROR("CTN " &amp; INDEX('111 Wall_CTNR Schedule'!$E$8:$E$40,SMALL(IF(LEFT(SUBSTITUTE('111 Wall_CTNR Schedule'!$H$8:$H$40," ","")&amp;",",LEN($C31&amp;"")+1)=$C31&amp;",",ROW('111 Wall_CTNR Schedule'!$H$8:$H$40)-ROW('111 Wall_CTNR Schedule'!$H$8)+1),COLUMNS($D31:I31))),"")</f>
        <v/>
      </c>
      <c r="K31" t="str" cm="1">
        <f t="array" ref="K31">IFERROR("CTN " &amp; INDEX('111 Wall_CTNR Schedule'!$E$8:$E$40,SMALL(IF(LEFT(SUBSTITUTE('111 Wall_CTNR Schedule'!$H$8:$H$40," ","")&amp;",",LEN($C31&amp;"")+1)=$C31&amp;",",ROW('111 Wall_CTNR Schedule'!$H$8:$H$40)-ROW('111 Wall_CTNR Schedule'!$H$8)+1),COLUMNS($D31:J31))),"")</f>
        <v/>
      </c>
      <c r="L31" t="str" cm="1">
        <f t="array" ref="L31">IFERROR("CTN " &amp; INDEX('111 Wall_CTNR Schedule'!$E$8:$E$40,SMALL(IF(LEFT(SUBSTITUTE('111 Wall_CTNR Schedule'!$H$8:$H$40," ","")&amp;",",LEN($C31&amp;"")+1)=$C31&amp;",",ROW('111 Wall_CTNR Schedule'!$H$8:$H$40)-ROW('111 Wall_CTNR Schedule'!$H$8)+1),COLUMNS($D31:K31))),"")</f>
        <v/>
      </c>
      <c r="M31" t="str" cm="1">
        <f t="array" ref="M31">IFERROR("CTN " &amp; INDEX('111 Wall_CTNR Schedule'!$E$8:$E$40,SMALL(IF(LEFT(SUBSTITUTE('111 Wall_CTNR Schedule'!$H$8:$H$40," ","")&amp;",",LEN($C31&amp;"")+1)=$C31&amp;",",ROW('111 Wall_CTNR Schedule'!$H$8:$H$40)-ROW('111 Wall_CTNR Schedule'!$H$8)+1),COLUMNS($D31:L31))),"")</f>
        <v/>
      </c>
      <c r="N31" t="str" cm="1">
        <f t="array" ref="N31">IFERROR("CTN " &amp; INDEX('111 Wall_CTNR Schedule'!$E$8:$E$40,SMALL(IF(LEFT(SUBSTITUTE('111 Wall_CTNR Schedule'!$H$8:$H$40," ","")&amp;",",LEN($C31&amp;"")+1)=$C31&amp;",",ROW('111 Wall_CTNR Schedule'!$H$8:$H$40)-ROW('111 Wall_CTNR Schedule'!$H$8)+1),COLUMNS($D31:M31))),"")</f>
        <v/>
      </c>
    </row>
    <row r="32" spans="2:14" ht="15" thickBot="1" x14ac:dyDescent="0.25">
      <c r="B32" s="367"/>
      <c r="C32" s="339">
        <v>29</v>
      </c>
      <c r="D32" s="340" t="str">
        <v>--</v>
      </c>
      <c r="E32" s="339" t="str" cm="1">
        <f t="array" ref="E32">IFERROR("CTN " &amp; INDEX('111 Wall_CTNR Schedule'!$E$8:$E$40,SMALL(IF(LEFT(SUBSTITUTE('111 Wall_CTNR Schedule'!$H$8:$H$40," ","")&amp;",",LEN($C32&amp;"")+1)=$C32&amp;",",ROW('111 Wall_CTNR Schedule'!$H$8:$H$40)-ROW('111 Wall_CTNR Schedule'!$H$8)+1),COLUMNS($D32:D32))),"")</f>
        <v/>
      </c>
      <c r="F32" s="339" t="str" cm="1">
        <f t="array" ref="F32">IFERROR("CTN " &amp; INDEX('111 Wall_CTNR Schedule'!$E$8:$E$40,SMALL(IF(LEFT(SUBSTITUTE('111 Wall_CTNR Schedule'!$H$8:$H$40," ","")&amp;",",LEN($C32&amp;"")+1)=$C32&amp;",",ROW('111 Wall_CTNR Schedule'!$H$8:$H$40)-ROW('111 Wall_CTNR Schedule'!$H$8)+1),COLUMNS($D32:E32))),"")</f>
        <v/>
      </c>
      <c r="G32" s="339" t="str" cm="1">
        <f t="array" ref="G32">IFERROR("CTN " &amp; INDEX('111 Wall_CTNR Schedule'!$E$8:$E$40,SMALL(IF(LEFT(SUBSTITUTE('111 Wall_CTNR Schedule'!$H$8:$H$40," ","")&amp;",",LEN($C32&amp;"")+1)=$C32&amp;",",ROW('111 Wall_CTNR Schedule'!$H$8:$H$40)-ROW('111 Wall_CTNR Schedule'!$H$8)+1),COLUMNS($D32:F32))),"")</f>
        <v/>
      </c>
      <c r="H32" s="341" t="str" cm="1">
        <f t="array" ref="H32">IFERROR("CTN " &amp; INDEX('111 Wall_CTNR Schedule'!$E$8:$E$40,SMALL(IF(LEFT(SUBSTITUTE('111 Wall_CTNR Schedule'!$H$8:$H$40," ","")&amp;",",LEN($C32&amp;"")+1)=$C32&amp;",",ROW('111 Wall_CTNR Schedule'!$H$8:$H$40)-ROW('111 Wall_CTNR Schedule'!$H$8)+1),COLUMNS($D32:G32))),"")</f>
        <v/>
      </c>
      <c r="I32" t="str" cm="1">
        <f t="array" ref="I32">IFERROR("CTN " &amp; INDEX('111 Wall_CTNR Schedule'!$E$8:$E$40,SMALL(IF(LEFT(SUBSTITUTE('111 Wall_CTNR Schedule'!$H$8:$H$40," ","")&amp;",",LEN($C32&amp;"")+1)=$C32&amp;",",ROW('111 Wall_CTNR Schedule'!$H$8:$H$40)-ROW('111 Wall_CTNR Schedule'!$H$8)+1),COLUMNS($D32:H32))),"")</f>
        <v/>
      </c>
      <c r="J32" t="str" cm="1">
        <f t="array" ref="J32">IFERROR("CTN " &amp; INDEX('111 Wall_CTNR Schedule'!$E$8:$E$40,SMALL(IF(LEFT(SUBSTITUTE('111 Wall_CTNR Schedule'!$H$8:$H$40," ","")&amp;",",LEN($C32&amp;"")+1)=$C32&amp;",",ROW('111 Wall_CTNR Schedule'!$H$8:$H$40)-ROW('111 Wall_CTNR Schedule'!$H$8)+1),COLUMNS($D32:I32))),"")</f>
        <v/>
      </c>
      <c r="K32" t="str" cm="1">
        <f t="array" ref="K32">IFERROR("CTN " &amp; INDEX('111 Wall_CTNR Schedule'!$E$8:$E$40,SMALL(IF(LEFT(SUBSTITUTE('111 Wall_CTNR Schedule'!$H$8:$H$40," ","")&amp;",",LEN($C32&amp;"")+1)=$C32&amp;",",ROW('111 Wall_CTNR Schedule'!$H$8:$H$40)-ROW('111 Wall_CTNR Schedule'!$H$8)+1),COLUMNS($D32:J32))),"")</f>
        <v/>
      </c>
      <c r="L32" t="str" cm="1">
        <f t="array" ref="L32">IFERROR("CTN " &amp; INDEX('111 Wall_CTNR Schedule'!$E$8:$E$40,SMALL(IF(LEFT(SUBSTITUTE('111 Wall_CTNR Schedule'!$H$8:$H$40," ","")&amp;",",LEN($C32&amp;"")+1)=$C32&amp;",",ROW('111 Wall_CTNR Schedule'!$H$8:$H$40)-ROW('111 Wall_CTNR Schedule'!$H$8)+1),COLUMNS($D32:K32))),"")</f>
        <v/>
      </c>
      <c r="M32" t="str" cm="1">
        <f t="array" ref="M32">IFERROR("CTN " &amp; INDEX('111 Wall_CTNR Schedule'!$E$8:$E$40,SMALL(IF(LEFT(SUBSTITUTE('111 Wall_CTNR Schedule'!$H$8:$H$40," ","")&amp;",",LEN($C32&amp;"")+1)=$C32&amp;",",ROW('111 Wall_CTNR Schedule'!$H$8:$H$40)-ROW('111 Wall_CTNR Schedule'!$H$8)+1),COLUMNS($D32:L32))),"")</f>
        <v/>
      </c>
      <c r="N32" t="str" cm="1">
        <f t="array" ref="N32">IFERROR("CTN " &amp; INDEX('111 Wall_CTNR Schedule'!$E$8:$E$40,SMALL(IF(LEFT(SUBSTITUTE('111 Wall_CTNR Schedule'!$H$8:$H$40," ","")&amp;",",LEN($C32&amp;"")+1)=$C32&amp;",",ROW('111 Wall_CTNR Schedule'!$H$8:$H$40)-ROW('111 Wall_CTNR Schedule'!$H$8)+1),COLUMNS($D32:M32))),"")</f>
        <v/>
      </c>
    </row>
  </sheetData>
  <mergeCells count="6">
    <mergeCell ref="B3:H3"/>
    <mergeCell ref="B6:B13"/>
    <mergeCell ref="B14:B19"/>
    <mergeCell ref="B20:B26"/>
    <mergeCell ref="B27:B32"/>
    <mergeCell ref="C4:H4"/>
  </mergeCells>
  <conditionalFormatting sqref="E6:H32">
    <cfRule type="containsBlanks" dxfId="23" priority="1">
      <formula>LEN(TRIM(E6))=0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E5C34-A9DD-4E02-B7F9-9A57099F6203}">
  <sheetPr>
    <tabColor theme="4" tint="0.59999389629810485"/>
    <pageSetUpPr fitToPage="1"/>
  </sheetPr>
  <dimension ref="B2:BQ71"/>
  <sheetViews>
    <sheetView showGridLines="0" topLeftCell="A23" zoomScale="70" zoomScaleNormal="70" zoomScaleSheetLayoutView="55" workbookViewId="0">
      <selection activeCell="AU73" sqref="AU73"/>
    </sheetView>
  </sheetViews>
  <sheetFormatPr defaultColWidth="9.21875" defaultRowHeight="14.25" x14ac:dyDescent="0.2"/>
  <cols>
    <col min="1" max="1" width="2.44140625" style="2" customWidth="1"/>
    <col min="2" max="2" width="6.33203125" style="2" customWidth="1"/>
    <col min="3" max="3" width="6.44140625" style="2" customWidth="1"/>
    <col min="4" max="61" width="3.77734375" style="2" customWidth="1"/>
    <col min="62" max="62" width="1.88671875" style="2" customWidth="1"/>
    <col min="63" max="63" width="4.109375" style="2" customWidth="1"/>
    <col min="64" max="64" width="2.77734375" style="2" customWidth="1"/>
    <col min="65" max="65" width="14.21875" style="2" customWidth="1"/>
    <col min="66" max="66" width="10.6640625" style="2" customWidth="1"/>
    <col min="67" max="67" width="3.109375" style="2" customWidth="1"/>
    <col min="68" max="16384" width="9.21875" style="2"/>
  </cols>
  <sheetData>
    <row r="2" spans="3:69" ht="25.5" x14ac:dyDescent="0.2">
      <c r="C2" s="75" t="s">
        <v>88</v>
      </c>
    </row>
    <row r="3" spans="3:69" x14ac:dyDescent="0.2"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</row>
    <row r="4" spans="3:69" ht="15" thickBot="1" x14ac:dyDescent="0.25">
      <c r="BA4" s="5" t="s">
        <v>0</v>
      </c>
    </row>
    <row r="5" spans="3:69" x14ac:dyDescent="0.2">
      <c r="C5" s="6" t="s">
        <v>1</v>
      </c>
      <c r="D5" s="7" t="s">
        <v>2</v>
      </c>
      <c r="E5" s="7" t="s">
        <v>3</v>
      </c>
      <c r="F5" s="7" t="s">
        <v>4</v>
      </c>
      <c r="G5" s="7" t="s">
        <v>5</v>
      </c>
      <c r="H5" s="7" t="s">
        <v>6</v>
      </c>
      <c r="I5" s="7" t="s">
        <v>7</v>
      </c>
      <c r="J5" s="7" t="s">
        <v>8</v>
      </c>
      <c r="K5" s="7" t="s">
        <v>9</v>
      </c>
      <c r="L5" s="7" t="s">
        <v>10</v>
      </c>
      <c r="M5" s="7" t="s">
        <v>11</v>
      </c>
      <c r="N5" s="7" t="s">
        <v>12</v>
      </c>
      <c r="O5" s="7" t="s">
        <v>13</v>
      </c>
      <c r="P5" s="7">
        <v>13</v>
      </c>
      <c r="Q5" s="7">
        <v>14</v>
      </c>
      <c r="R5" s="7">
        <v>15</v>
      </c>
      <c r="S5" s="7">
        <v>16</v>
      </c>
      <c r="T5" s="7">
        <v>17</v>
      </c>
      <c r="U5" s="7">
        <v>18</v>
      </c>
      <c r="V5" s="7">
        <v>19</v>
      </c>
      <c r="W5" s="7">
        <v>20</v>
      </c>
      <c r="X5" s="7">
        <v>21</v>
      </c>
      <c r="Y5" s="7">
        <v>22</v>
      </c>
      <c r="Z5" s="7">
        <v>23</v>
      </c>
      <c r="AA5" s="7">
        <v>24</v>
      </c>
      <c r="AB5" s="7">
        <v>25</v>
      </c>
      <c r="AC5" s="7">
        <v>26</v>
      </c>
      <c r="AD5" s="7">
        <v>27</v>
      </c>
      <c r="AE5" s="7">
        <v>28</v>
      </c>
      <c r="AF5" s="7">
        <v>29</v>
      </c>
      <c r="AG5" s="7">
        <v>30</v>
      </c>
      <c r="AH5" s="7">
        <v>31</v>
      </c>
      <c r="AI5" s="7">
        <v>32</v>
      </c>
      <c r="AJ5" s="7">
        <v>33</v>
      </c>
      <c r="AK5" s="7">
        <v>34</v>
      </c>
      <c r="AL5" s="7">
        <v>35</v>
      </c>
      <c r="AM5" s="7">
        <v>36</v>
      </c>
      <c r="AN5" s="7">
        <v>37</v>
      </c>
      <c r="AO5" s="7">
        <v>38</v>
      </c>
      <c r="AP5" s="7">
        <v>39</v>
      </c>
      <c r="AQ5" s="7">
        <v>40</v>
      </c>
      <c r="AR5" s="7">
        <v>41</v>
      </c>
      <c r="AS5" s="7">
        <v>42</v>
      </c>
      <c r="AT5" s="7">
        <v>43</v>
      </c>
      <c r="AU5" s="7">
        <v>44</v>
      </c>
      <c r="AV5" s="7">
        <v>45</v>
      </c>
      <c r="AW5" s="7">
        <v>46</v>
      </c>
      <c r="AX5" s="7">
        <v>47</v>
      </c>
      <c r="AY5" s="7">
        <v>48</v>
      </c>
      <c r="AZ5" s="8">
        <v>49</v>
      </c>
      <c r="BA5" s="48">
        <v>50</v>
      </c>
      <c r="BB5" s="49">
        <v>51</v>
      </c>
      <c r="BC5" s="11">
        <v>52</v>
      </c>
      <c r="BD5" s="7">
        <v>53</v>
      </c>
      <c r="BE5" s="7">
        <v>54</v>
      </c>
      <c r="BF5" s="7">
        <v>55</v>
      </c>
      <c r="BG5" s="7">
        <v>56</v>
      </c>
      <c r="BH5" s="7">
        <v>57</v>
      </c>
      <c r="BI5" s="7">
        <v>58</v>
      </c>
    </row>
    <row r="6" spans="3:69" ht="12.75" customHeight="1" x14ac:dyDescent="0.2">
      <c r="C6" s="6" t="s">
        <v>14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3"/>
      <c r="BA6" s="50"/>
      <c r="BB6" s="51"/>
      <c r="BC6" s="14"/>
      <c r="BD6" s="12"/>
      <c r="BE6" s="12"/>
      <c r="BF6" s="12"/>
      <c r="BG6" s="12"/>
      <c r="BH6" s="12"/>
      <c r="BI6" s="12"/>
    </row>
    <row r="7" spans="3:69" x14ac:dyDescent="0.2">
      <c r="C7" s="15">
        <v>29</v>
      </c>
      <c r="D7" s="16" t="str" cm="1">
        <f t="array" ref="D7:BI33">_xlfn.XLOOKUP(($C7:$C33*100)+D$5:BI$5,'[1]111W_BUILDING MATRIX'!$B$8:$B$600,'[1]111W_BUILDING MATRIX'!$H$8:$H$600,"--")</f>
        <v>--</v>
      </c>
      <c r="E7" s="16" t="str">
        <v>--</v>
      </c>
      <c r="F7" s="16" t="str">
        <v>--</v>
      </c>
      <c r="G7" s="16" t="str">
        <v>--</v>
      </c>
      <c r="H7" s="16" t="str">
        <v>--</v>
      </c>
      <c r="I7" s="16" t="str">
        <v>--</v>
      </c>
      <c r="J7" s="16" t="str">
        <v>--</v>
      </c>
      <c r="K7" s="16" t="str">
        <v>--</v>
      </c>
      <c r="L7" s="16" t="str">
        <v>--</v>
      </c>
      <c r="M7" s="16" t="str">
        <v>--</v>
      </c>
      <c r="N7" s="16" t="str">
        <v>--</v>
      </c>
      <c r="O7" s="16" t="str">
        <v>--</v>
      </c>
      <c r="P7" s="16" t="str">
        <v>--</v>
      </c>
      <c r="Q7" s="16" t="str">
        <v>--</v>
      </c>
      <c r="R7" s="16" t="str">
        <v>--</v>
      </c>
      <c r="S7" s="16" t="str">
        <v>--</v>
      </c>
      <c r="T7" s="16" t="str">
        <v>--</v>
      </c>
      <c r="U7" s="16" t="str">
        <v>--</v>
      </c>
      <c r="V7" s="16" t="str">
        <v>--</v>
      </c>
      <c r="W7" s="16" t="str">
        <v>--</v>
      </c>
      <c r="X7" s="16" t="str">
        <v>--</v>
      </c>
      <c r="Y7" s="16" t="str">
        <v>--</v>
      </c>
      <c r="Z7" s="16" t="str">
        <v>--</v>
      </c>
      <c r="AA7" s="16" t="str">
        <v>--</v>
      </c>
      <c r="AB7" s="16" t="str">
        <v>--</v>
      </c>
      <c r="AC7" s="16" t="str">
        <v>--</v>
      </c>
      <c r="AD7" s="16" t="str">
        <v>--</v>
      </c>
      <c r="AE7" s="16" t="str">
        <v>--</v>
      </c>
      <c r="AF7" s="16" t="str">
        <v>--</v>
      </c>
      <c r="AG7" s="16" t="str">
        <v>--</v>
      </c>
      <c r="AH7" s="16" t="str">
        <v>--</v>
      </c>
      <c r="AI7" s="16" t="str">
        <v>--</v>
      </c>
      <c r="AJ7" s="16" t="str">
        <v>--</v>
      </c>
      <c r="AK7" s="16" t="str">
        <v>--</v>
      </c>
      <c r="AL7" s="16" t="str">
        <v>--</v>
      </c>
      <c r="AM7" s="16" t="str">
        <v>--</v>
      </c>
      <c r="AN7" s="16" t="str">
        <v>--</v>
      </c>
      <c r="AO7" s="16" t="str">
        <v>--</v>
      </c>
      <c r="AP7" s="16" t="str">
        <v>--</v>
      </c>
      <c r="AQ7" s="16" t="str">
        <v>--</v>
      </c>
      <c r="AR7" s="16" t="str">
        <v>--</v>
      </c>
      <c r="AS7" s="16" t="str">
        <v>--</v>
      </c>
      <c r="AT7" s="16" t="str">
        <v>--</v>
      </c>
      <c r="AU7" s="16" t="str">
        <v>--</v>
      </c>
      <c r="AV7" s="16" t="str">
        <v>--</v>
      </c>
      <c r="AW7" s="16" t="str">
        <v>--</v>
      </c>
      <c r="AX7" s="16" t="str">
        <v>--</v>
      </c>
      <c r="AY7" s="16" t="str">
        <v>--</v>
      </c>
      <c r="AZ7" s="17" t="str">
        <v>--</v>
      </c>
      <c r="BA7" s="52" t="str">
        <v>--</v>
      </c>
      <c r="BB7" s="53" t="str">
        <v>--</v>
      </c>
      <c r="BC7" s="20" t="str">
        <v>--</v>
      </c>
      <c r="BD7" s="16" t="str">
        <v>--</v>
      </c>
      <c r="BE7" s="16" t="str">
        <v>--</v>
      </c>
      <c r="BF7" s="16" t="str">
        <v>--</v>
      </c>
      <c r="BG7" s="16" t="str">
        <v>--</v>
      </c>
      <c r="BH7" s="16" t="str">
        <v>--</v>
      </c>
      <c r="BI7" s="16" t="str">
        <v>--</v>
      </c>
      <c r="BL7" s="62">
        <f t="shared" ref="BL7:BL33" si="0">COUNTIF(D7:BI7, "D")</f>
        <v>0</v>
      </c>
      <c r="BM7" s="63" t="s">
        <v>16</v>
      </c>
      <c r="BN7" s="64"/>
      <c r="BO7" s="64"/>
      <c r="BP7" s="63">
        <f t="shared" ref="BP7:BP32" si="1" xml:space="preserve"> COUNTIF(D7:BI7,"&lt;&gt;--")</f>
        <v>0</v>
      </c>
      <c r="BQ7" s="70" t="e">
        <f t="shared" ref="BQ7:BQ22" si="2">BL7/BP7</f>
        <v>#DIV/0!</v>
      </c>
    </row>
    <row r="8" spans="3:69" x14ac:dyDescent="0.2">
      <c r="C8" s="15">
        <v>28</v>
      </c>
      <c r="D8" s="16" t="str">
        <v>--</v>
      </c>
      <c r="E8" s="16" t="str">
        <v>--</v>
      </c>
      <c r="F8" s="16" t="str">
        <v>--</v>
      </c>
      <c r="G8" s="16" t="str">
        <v>--</v>
      </c>
      <c r="H8" s="16" t="str">
        <v>--</v>
      </c>
      <c r="I8" s="16" t="str">
        <v>--</v>
      </c>
      <c r="J8" s="16" t="str">
        <v>--</v>
      </c>
      <c r="K8" s="16" t="str">
        <v>--</v>
      </c>
      <c r="L8" s="16" t="str">
        <v>--</v>
      </c>
      <c r="M8" s="16" t="str">
        <v>--</v>
      </c>
      <c r="N8" s="16" t="str">
        <v>--</v>
      </c>
      <c r="O8" s="16" t="str">
        <v>--</v>
      </c>
      <c r="P8" s="16" t="str">
        <v>--</v>
      </c>
      <c r="Q8" s="16" t="str">
        <v>--</v>
      </c>
      <c r="R8" s="16" t="str">
        <v>--</v>
      </c>
      <c r="S8" s="16" t="str">
        <v>--</v>
      </c>
      <c r="T8" s="16" t="str">
        <v>--</v>
      </c>
      <c r="U8" s="16" t="str">
        <v>--</v>
      </c>
      <c r="V8" s="16" t="str">
        <v>--</v>
      </c>
      <c r="W8" s="16" t="str">
        <v>--</v>
      </c>
      <c r="X8" s="16" t="str">
        <v>--</v>
      </c>
      <c r="Y8" s="16" t="str">
        <v>--</v>
      </c>
      <c r="Z8" s="16" t="str">
        <v>--</v>
      </c>
      <c r="AA8" s="16" t="str">
        <v>--</v>
      </c>
      <c r="AB8" s="16" t="str">
        <v>--</v>
      </c>
      <c r="AC8" s="16" t="str">
        <v>--</v>
      </c>
      <c r="AD8" s="16" t="str">
        <v>--</v>
      </c>
      <c r="AE8" s="16" t="str">
        <v>--</v>
      </c>
      <c r="AF8" s="16" t="str">
        <v>--</v>
      </c>
      <c r="AG8" s="16" t="str">
        <v>--</v>
      </c>
      <c r="AH8" s="16" t="str">
        <v>--</v>
      </c>
      <c r="AI8" s="16" t="str">
        <v>--</v>
      </c>
      <c r="AJ8" s="16" t="str">
        <v>--</v>
      </c>
      <c r="AK8" s="16" t="str">
        <v>--</v>
      </c>
      <c r="AL8" s="16" t="str">
        <v>--</v>
      </c>
      <c r="AM8" s="16" t="str">
        <v>--</v>
      </c>
      <c r="AN8" s="16" t="str">
        <v>--</v>
      </c>
      <c r="AO8" s="16" t="str">
        <v>--</v>
      </c>
      <c r="AP8" s="16" t="str">
        <v>--</v>
      </c>
      <c r="AQ8" s="16" t="str">
        <v>--</v>
      </c>
      <c r="AR8" s="16" t="str">
        <v>--</v>
      </c>
      <c r="AS8" s="16" t="str">
        <v>--</v>
      </c>
      <c r="AT8" s="16" t="str">
        <v>--</v>
      </c>
      <c r="AU8" s="16" t="str">
        <v>--</v>
      </c>
      <c r="AV8" s="16" t="str">
        <v>--</v>
      </c>
      <c r="AW8" s="16" t="str">
        <v>--</v>
      </c>
      <c r="AX8" s="16" t="str">
        <v>--</v>
      </c>
      <c r="AY8" s="16" t="str">
        <v>--</v>
      </c>
      <c r="AZ8" s="17" t="str">
        <v>--</v>
      </c>
      <c r="BA8" s="52" t="str">
        <v>--</v>
      </c>
      <c r="BB8" s="53" t="str">
        <v>--</v>
      </c>
      <c r="BC8" s="20" t="str">
        <v>--</v>
      </c>
      <c r="BD8" s="16" t="str">
        <v>--</v>
      </c>
      <c r="BE8" s="16" t="str">
        <v>--</v>
      </c>
      <c r="BF8" s="16" t="str">
        <v>--</v>
      </c>
      <c r="BG8" s="16" t="str">
        <v>--</v>
      </c>
      <c r="BH8" s="16" t="str">
        <v>--</v>
      </c>
      <c r="BI8" s="16" t="str">
        <v>--</v>
      </c>
      <c r="BL8" s="62">
        <f t="shared" si="0"/>
        <v>0</v>
      </c>
      <c r="BM8" s="63" t="s">
        <v>16</v>
      </c>
      <c r="BN8" s="64"/>
      <c r="BO8" s="64"/>
      <c r="BP8" s="63">
        <f t="shared" si="1"/>
        <v>0</v>
      </c>
      <c r="BQ8" s="70" t="e">
        <f t="shared" si="2"/>
        <v>#DIV/0!</v>
      </c>
    </row>
    <row r="9" spans="3:69" x14ac:dyDescent="0.2">
      <c r="C9" s="15">
        <v>27</v>
      </c>
      <c r="D9" s="16" t="str">
        <v>--</v>
      </c>
      <c r="E9" s="16" t="str">
        <v>--</v>
      </c>
      <c r="F9" s="16" t="str">
        <v>--</v>
      </c>
      <c r="G9" s="16" t="str">
        <v>--</v>
      </c>
      <c r="H9" s="16" t="str">
        <v>--</v>
      </c>
      <c r="I9" s="16" t="str">
        <v>--</v>
      </c>
      <c r="J9" s="16" t="str">
        <v>--</v>
      </c>
      <c r="K9" s="16" t="str">
        <v>--</v>
      </c>
      <c r="L9" s="16" t="str">
        <v>--</v>
      </c>
      <c r="M9" s="16" t="str">
        <v>--</v>
      </c>
      <c r="N9" s="16" t="str">
        <v>--</v>
      </c>
      <c r="O9" s="16" t="str">
        <v>--</v>
      </c>
      <c r="P9" s="16" t="str">
        <v>--</v>
      </c>
      <c r="Q9" s="16" t="str">
        <v>--</v>
      </c>
      <c r="R9" s="16" t="str">
        <v>--</v>
      </c>
      <c r="S9" s="16" t="str">
        <v>--</v>
      </c>
      <c r="T9" s="16" t="str">
        <v>--</v>
      </c>
      <c r="U9" s="16" t="str">
        <v>--</v>
      </c>
      <c r="V9" s="16" t="str">
        <v>--</v>
      </c>
      <c r="W9" s="16" t="str">
        <v>--</v>
      </c>
      <c r="X9" s="16" t="str">
        <v>--</v>
      </c>
      <c r="Y9" s="16" t="str">
        <v>--</v>
      </c>
      <c r="Z9" s="16" t="str">
        <v>--</v>
      </c>
      <c r="AA9" s="16" t="str">
        <v>--</v>
      </c>
      <c r="AB9" s="16" t="str">
        <v>--</v>
      </c>
      <c r="AC9" s="16" t="str">
        <v>--</v>
      </c>
      <c r="AD9" s="16" t="str">
        <v>--</v>
      </c>
      <c r="AE9" s="16" t="str">
        <v>--</v>
      </c>
      <c r="AF9" s="16" t="str">
        <v>--</v>
      </c>
      <c r="AG9" s="16" t="str">
        <v>--</v>
      </c>
      <c r="AH9" s="16" t="str">
        <v>--</v>
      </c>
      <c r="AI9" s="16" t="str">
        <v>--</v>
      </c>
      <c r="AJ9" s="16" t="str">
        <v>--</v>
      </c>
      <c r="AK9" s="16" t="str">
        <v>--</v>
      </c>
      <c r="AL9" s="16" t="str">
        <v>--</v>
      </c>
      <c r="AM9" s="16" t="str">
        <v>--</v>
      </c>
      <c r="AN9" s="16" t="str">
        <v>--</v>
      </c>
      <c r="AO9" s="16" t="str">
        <v>--</v>
      </c>
      <c r="AP9" s="16" t="str">
        <v>--</v>
      </c>
      <c r="AQ9" s="16" t="str">
        <v>--</v>
      </c>
      <c r="AR9" s="16" t="str">
        <v>--</v>
      </c>
      <c r="AS9" s="16" t="str">
        <v>--</v>
      </c>
      <c r="AT9" s="16" t="str">
        <v>--</v>
      </c>
      <c r="AU9" s="16" t="str">
        <v>--</v>
      </c>
      <c r="AV9" s="16" t="str">
        <v>--</v>
      </c>
      <c r="AW9" s="16" t="str">
        <v>--</v>
      </c>
      <c r="AX9" s="16" t="str">
        <v>--</v>
      </c>
      <c r="AY9" s="16" t="str">
        <v>--</v>
      </c>
      <c r="AZ9" s="17" t="str">
        <v>--</v>
      </c>
      <c r="BA9" s="52" t="str">
        <v>--</v>
      </c>
      <c r="BB9" s="53" t="str">
        <v>--</v>
      </c>
      <c r="BC9" s="20" t="str">
        <v>--</v>
      </c>
      <c r="BD9" s="16" t="str">
        <v>--</v>
      </c>
      <c r="BE9" s="16" t="str">
        <v>--</v>
      </c>
      <c r="BF9" s="16" t="str">
        <v>--</v>
      </c>
      <c r="BG9" s="16" t="str">
        <v>--</v>
      </c>
      <c r="BH9" s="16" t="str">
        <v>--</v>
      </c>
      <c r="BI9" s="16" t="str">
        <v>--</v>
      </c>
      <c r="BL9" s="62">
        <f t="shared" si="0"/>
        <v>0</v>
      </c>
      <c r="BM9" s="63" t="s">
        <v>16</v>
      </c>
      <c r="BN9" s="64"/>
      <c r="BO9" s="64"/>
      <c r="BP9" s="63">
        <f t="shared" si="1"/>
        <v>0</v>
      </c>
      <c r="BQ9" s="70" t="e">
        <f t="shared" si="2"/>
        <v>#DIV/0!</v>
      </c>
    </row>
    <row r="10" spans="3:69" x14ac:dyDescent="0.2">
      <c r="C10" s="15">
        <v>26</v>
      </c>
      <c r="D10" s="16" t="str">
        <v>--</v>
      </c>
      <c r="E10" s="16" t="str">
        <v>--</v>
      </c>
      <c r="F10" s="16" t="str">
        <v>--</v>
      </c>
      <c r="G10" s="16" t="str">
        <v>--</v>
      </c>
      <c r="H10" s="16" t="str">
        <v>--</v>
      </c>
      <c r="I10" s="16" t="str">
        <v>--</v>
      </c>
      <c r="J10" s="16" t="str">
        <v>--</v>
      </c>
      <c r="K10" s="16" t="str">
        <v>--</v>
      </c>
      <c r="L10" s="16" t="str">
        <v>--</v>
      </c>
      <c r="M10" s="16" t="str">
        <v>--</v>
      </c>
      <c r="N10" s="16" t="str">
        <v>--</v>
      </c>
      <c r="O10" s="16" t="str">
        <v>--</v>
      </c>
      <c r="P10" s="16" t="str">
        <v>--</v>
      </c>
      <c r="Q10" s="16" t="str">
        <v>--</v>
      </c>
      <c r="R10" s="16" t="str">
        <v>--</v>
      </c>
      <c r="S10" s="16" t="str">
        <v>--</v>
      </c>
      <c r="T10" s="16" t="str">
        <v>--</v>
      </c>
      <c r="U10" s="16" t="str">
        <v>--</v>
      </c>
      <c r="V10" s="16" t="str">
        <v>--</v>
      </c>
      <c r="W10" s="16" t="str">
        <v>--</v>
      </c>
      <c r="X10" s="16" t="str">
        <v>--</v>
      </c>
      <c r="Y10" s="16" t="str">
        <v>--</v>
      </c>
      <c r="Z10" s="16" t="str">
        <v>--</v>
      </c>
      <c r="AA10" s="16" t="str">
        <v>--</v>
      </c>
      <c r="AB10" s="16" t="str">
        <v>--</v>
      </c>
      <c r="AC10" s="16" t="str">
        <v>--</v>
      </c>
      <c r="AD10" s="16" t="str">
        <v>--</v>
      </c>
      <c r="AE10" s="16" t="str">
        <v>--</v>
      </c>
      <c r="AF10" s="16" t="str">
        <v>--</v>
      </c>
      <c r="AG10" s="16" t="str">
        <v>--</v>
      </c>
      <c r="AH10" s="16" t="str">
        <v>--</v>
      </c>
      <c r="AI10" s="16" t="str">
        <v>--</v>
      </c>
      <c r="AJ10" s="16" t="str">
        <v>--</v>
      </c>
      <c r="AK10" s="16" t="str">
        <v>--</v>
      </c>
      <c r="AL10" s="16" t="str">
        <v>--</v>
      </c>
      <c r="AM10" s="16" t="str">
        <v>--</v>
      </c>
      <c r="AN10" s="16" t="str">
        <v>--</v>
      </c>
      <c r="AO10" s="16" t="str">
        <v>--</v>
      </c>
      <c r="AP10" s="16" t="str">
        <v>--</v>
      </c>
      <c r="AQ10" s="16" t="str">
        <v>--</v>
      </c>
      <c r="AR10" s="16" t="str">
        <v>--</v>
      </c>
      <c r="AS10" s="16" t="str">
        <v>--</v>
      </c>
      <c r="AT10" s="16" t="str">
        <v>--</v>
      </c>
      <c r="AU10" s="16" t="str">
        <v>--</v>
      </c>
      <c r="AV10" s="16" t="str">
        <v>--</v>
      </c>
      <c r="AW10" s="16" t="str">
        <v>--</v>
      </c>
      <c r="AX10" s="16" t="str">
        <v>--</v>
      </c>
      <c r="AY10" s="16" t="str">
        <v>--</v>
      </c>
      <c r="AZ10" s="17" t="str">
        <v>--</v>
      </c>
      <c r="BA10" s="52" t="str">
        <v>--</v>
      </c>
      <c r="BB10" s="53" t="str">
        <v>--</v>
      </c>
      <c r="BC10" s="20" t="str">
        <v>--</v>
      </c>
      <c r="BD10" s="16" t="str">
        <v>--</v>
      </c>
      <c r="BE10" s="16" t="str">
        <v>--</v>
      </c>
      <c r="BF10" s="16" t="str">
        <v>--</v>
      </c>
      <c r="BG10" s="16" t="str">
        <v>--</v>
      </c>
      <c r="BH10" s="16" t="str">
        <v>--</v>
      </c>
      <c r="BI10" s="16" t="str">
        <v>--</v>
      </c>
      <c r="BL10" s="62">
        <f t="shared" si="0"/>
        <v>0</v>
      </c>
      <c r="BM10" s="63" t="s">
        <v>16</v>
      </c>
      <c r="BN10" s="64"/>
      <c r="BO10" s="64"/>
      <c r="BP10" s="63">
        <f t="shared" si="1"/>
        <v>0</v>
      </c>
      <c r="BQ10" s="70" t="e">
        <f t="shared" si="2"/>
        <v>#DIV/0!</v>
      </c>
    </row>
    <row r="11" spans="3:69" x14ac:dyDescent="0.2">
      <c r="C11" s="15">
        <v>25</v>
      </c>
      <c r="D11" s="16" t="str">
        <v>--</v>
      </c>
      <c r="E11" s="16" t="str">
        <v>--</v>
      </c>
      <c r="F11" s="16" t="str">
        <v>--</v>
      </c>
      <c r="G11" s="16" t="str">
        <v>--</v>
      </c>
      <c r="H11" s="16" t="str">
        <v>--</v>
      </c>
      <c r="I11" s="16" t="str">
        <v>--</v>
      </c>
      <c r="J11" s="16" t="str">
        <v>--</v>
      </c>
      <c r="K11" s="16" t="str">
        <v>--</v>
      </c>
      <c r="L11" s="16" t="str">
        <v>--</v>
      </c>
      <c r="M11" s="16" t="str">
        <v>--</v>
      </c>
      <c r="N11" s="16" t="str">
        <v>--</v>
      </c>
      <c r="O11" s="16" t="str">
        <v>--</v>
      </c>
      <c r="P11" s="16" t="str">
        <v>--</v>
      </c>
      <c r="Q11" s="16" t="str">
        <v>--</v>
      </c>
      <c r="R11" s="16" t="str">
        <v>--</v>
      </c>
      <c r="S11" s="16" t="str">
        <v>--</v>
      </c>
      <c r="T11" s="16" t="str">
        <v>--</v>
      </c>
      <c r="U11" s="16" t="str">
        <v>--</v>
      </c>
      <c r="V11" s="16" t="str">
        <v>--</v>
      </c>
      <c r="W11" s="16" t="str">
        <v>--</v>
      </c>
      <c r="X11" s="16" t="str">
        <v>--</v>
      </c>
      <c r="Y11" s="16" t="str">
        <v>--</v>
      </c>
      <c r="Z11" s="16" t="str">
        <v>--</v>
      </c>
      <c r="AA11" s="16" t="str">
        <v>--</v>
      </c>
      <c r="AB11" s="16" t="str">
        <v>--</v>
      </c>
      <c r="AC11" s="16" t="str">
        <v>--</v>
      </c>
      <c r="AD11" s="16" t="str">
        <v>--</v>
      </c>
      <c r="AE11" s="16" t="str">
        <v>--</v>
      </c>
      <c r="AF11" s="16" t="str">
        <v>--</v>
      </c>
      <c r="AG11" s="16" t="str">
        <v>--</v>
      </c>
      <c r="AH11" s="16" t="str">
        <v>--</v>
      </c>
      <c r="AI11" s="16" t="str">
        <v>--</v>
      </c>
      <c r="AJ11" s="16" t="str">
        <v>--</v>
      </c>
      <c r="AK11" s="16" t="str">
        <v>--</v>
      </c>
      <c r="AL11" s="16" t="str">
        <v>--</v>
      </c>
      <c r="AM11" s="16" t="str">
        <v>--</v>
      </c>
      <c r="AN11" s="16" t="str">
        <v>--</v>
      </c>
      <c r="AO11" s="16" t="str">
        <v>--</v>
      </c>
      <c r="AP11" s="16" t="str">
        <v>--</v>
      </c>
      <c r="AQ11" s="16" t="str">
        <v>--</v>
      </c>
      <c r="AR11" s="16" t="str">
        <v>--</v>
      </c>
      <c r="AS11" s="16" t="str">
        <v>--</v>
      </c>
      <c r="AT11" s="16" t="str">
        <v>--</v>
      </c>
      <c r="AU11" s="16" t="str">
        <v>--</v>
      </c>
      <c r="AV11" s="16" t="str">
        <v>--</v>
      </c>
      <c r="AW11" s="16" t="str">
        <v>--</v>
      </c>
      <c r="AX11" s="16" t="str">
        <v>--</v>
      </c>
      <c r="AY11" s="16" t="str">
        <v>--</v>
      </c>
      <c r="AZ11" s="17" t="str">
        <v>--</v>
      </c>
      <c r="BA11" s="52" t="str">
        <v>--</v>
      </c>
      <c r="BB11" s="53" t="str">
        <v>--</v>
      </c>
      <c r="BC11" s="20" t="str">
        <v>--</v>
      </c>
      <c r="BD11" s="16" t="str">
        <v>--</v>
      </c>
      <c r="BE11" s="16" t="str">
        <v>--</v>
      </c>
      <c r="BF11" s="16" t="str">
        <v>--</v>
      </c>
      <c r="BG11" s="16" t="str">
        <v>--</v>
      </c>
      <c r="BH11" s="16" t="str">
        <v>--</v>
      </c>
      <c r="BI11" s="16" t="str">
        <v>--</v>
      </c>
      <c r="BL11" s="62">
        <f t="shared" si="0"/>
        <v>0</v>
      </c>
      <c r="BM11" s="63" t="s">
        <v>16</v>
      </c>
      <c r="BN11" s="64"/>
      <c r="BO11" s="64"/>
      <c r="BP11" s="63">
        <f t="shared" si="1"/>
        <v>0</v>
      </c>
      <c r="BQ11" s="70" t="e">
        <f t="shared" si="2"/>
        <v>#DIV/0!</v>
      </c>
    </row>
    <row r="12" spans="3:69" x14ac:dyDescent="0.2">
      <c r="C12" s="15">
        <v>24</v>
      </c>
      <c r="D12" s="16" t="str">
        <v>--</v>
      </c>
      <c r="E12" s="16" t="str">
        <v>--</v>
      </c>
      <c r="F12" s="16" t="str">
        <v>--</v>
      </c>
      <c r="G12" s="16" t="str">
        <v>--</v>
      </c>
      <c r="H12" s="16" t="str">
        <v>--</v>
      </c>
      <c r="I12" s="16" t="str">
        <v>--</v>
      </c>
      <c r="J12" s="16" t="str">
        <v>--</v>
      </c>
      <c r="K12" s="16" t="str">
        <v>--</v>
      </c>
      <c r="L12" s="16" t="str">
        <v>--</v>
      </c>
      <c r="M12" s="16" t="str">
        <v>--</v>
      </c>
      <c r="N12" s="16" t="str">
        <v>--</v>
      </c>
      <c r="O12" s="16" t="str">
        <v>--</v>
      </c>
      <c r="P12" s="16" t="str">
        <v>--</v>
      </c>
      <c r="Q12" s="16" t="str">
        <v>--</v>
      </c>
      <c r="R12" s="16" t="str">
        <v>--</v>
      </c>
      <c r="S12" s="16" t="str">
        <v>--</v>
      </c>
      <c r="T12" s="16" t="str">
        <v>--</v>
      </c>
      <c r="U12" s="16" t="str">
        <v>--</v>
      </c>
      <c r="V12" s="16" t="str">
        <v>--</v>
      </c>
      <c r="W12" s="16" t="str">
        <v>--</v>
      </c>
      <c r="X12" s="16" t="str">
        <v>--</v>
      </c>
      <c r="Y12" s="16" t="str">
        <v>--</v>
      </c>
      <c r="Z12" s="16" t="str">
        <v>--</v>
      </c>
      <c r="AA12" s="16" t="str">
        <v>--</v>
      </c>
      <c r="AB12" s="16" t="str">
        <v>--</v>
      </c>
      <c r="AC12" s="16" t="str">
        <v>--</v>
      </c>
      <c r="AD12" s="16" t="str">
        <v>--</v>
      </c>
      <c r="AE12" s="16" t="str">
        <v>--</v>
      </c>
      <c r="AF12" s="16" t="str">
        <v>--</v>
      </c>
      <c r="AG12" s="16" t="str">
        <v>--</v>
      </c>
      <c r="AH12" s="16" t="str">
        <v>--</v>
      </c>
      <c r="AI12" s="16" t="str">
        <v>--</v>
      </c>
      <c r="AJ12" s="16" t="str">
        <v>--</v>
      </c>
      <c r="AK12" s="16" t="str">
        <v>--</v>
      </c>
      <c r="AL12" s="16" t="str">
        <v>--</v>
      </c>
      <c r="AM12" s="16" t="str">
        <v>--</v>
      </c>
      <c r="AN12" s="16" t="str">
        <v>--</v>
      </c>
      <c r="AO12" s="16" t="str">
        <v>--</v>
      </c>
      <c r="AP12" s="16" t="str">
        <v>--</v>
      </c>
      <c r="AQ12" s="16" t="str">
        <v>--</v>
      </c>
      <c r="AR12" s="16" t="str">
        <v>--</v>
      </c>
      <c r="AS12" s="16" t="str">
        <v>--</v>
      </c>
      <c r="AT12" s="16" t="str">
        <v>--</v>
      </c>
      <c r="AU12" s="16" t="str">
        <v>--</v>
      </c>
      <c r="AV12" s="16" t="str">
        <v>--</v>
      </c>
      <c r="AW12" s="16" t="str">
        <v>--</v>
      </c>
      <c r="AX12" s="16" t="str">
        <v>--</v>
      </c>
      <c r="AY12" s="16" t="str">
        <v>--</v>
      </c>
      <c r="AZ12" s="17" t="str">
        <v>--</v>
      </c>
      <c r="BA12" s="52" t="str">
        <v>--</v>
      </c>
      <c r="BB12" s="53" t="str">
        <v>--</v>
      </c>
      <c r="BC12" s="20" t="str">
        <v>--</v>
      </c>
      <c r="BD12" s="16" t="str">
        <v>--</v>
      </c>
      <c r="BE12" s="16" t="str">
        <v>--</v>
      </c>
      <c r="BF12" s="16" t="str">
        <v>--</v>
      </c>
      <c r="BG12" s="16" t="str">
        <v>--</v>
      </c>
      <c r="BH12" s="16" t="str">
        <v>--</v>
      </c>
      <c r="BI12" s="16" t="str">
        <v>--</v>
      </c>
      <c r="BL12" s="62">
        <f t="shared" si="0"/>
        <v>0</v>
      </c>
      <c r="BM12" s="63" t="s">
        <v>16</v>
      </c>
      <c r="BN12" s="64"/>
      <c r="BO12" s="64"/>
      <c r="BP12" s="63">
        <f t="shared" si="1"/>
        <v>0</v>
      </c>
      <c r="BQ12" s="70" t="e">
        <f t="shared" si="2"/>
        <v>#DIV/0!</v>
      </c>
    </row>
    <row r="13" spans="3:69" x14ac:dyDescent="0.2">
      <c r="C13" s="15">
        <v>23</v>
      </c>
      <c r="D13" s="16" t="str">
        <v>--</v>
      </c>
      <c r="E13" s="16" t="str">
        <v>--</v>
      </c>
      <c r="F13" s="16" t="str">
        <v>--</v>
      </c>
      <c r="G13" s="16" t="str">
        <v>--</v>
      </c>
      <c r="H13" s="16" t="str">
        <v>--</v>
      </c>
      <c r="I13" s="16" t="str">
        <v>--</v>
      </c>
      <c r="J13" s="16" t="str">
        <v>--</v>
      </c>
      <c r="K13" s="16" t="str">
        <v>--</v>
      </c>
      <c r="L13" s="16" t="str">
        <v>--</v>
      </c>
      <c r="M13" s="16" t="str">
        <v>--</v>
      </c>
      <c r="N13" s="16" t="str">
        <v>--</v>
      </c>
      <c r="O13" s="16" t="str">
        <v>--</v>
      </c>
      <c r="P13" s="16" t="str">
        <v>--</v>
      </c>
      <c r="Q13" s="16" t="str">
        <v>--</v>
      </c>
      <c r="R13" s="16" t="str">
        <v>--</v>
      </c>
      <c r="S13" s="16" t="str">
        <v>--</v>
      </c>
      <c r="T13" s="16" t="str">
        <v>--</v>
      </c>
      <c r="U13" s="16" t="str">
        <v>--</v>
      </c>
      <c r="V13" s="16" t="str">
        <v>--</v>
      </c>
      <c r="W13" s="16" t="str">
        <v>--</v>
      </c>
      <c r="X13" s="16" t="str">
        <v>--</v>
      </c>
      <c r="Y13" s="16" t="str">
        <v>--</v>
      </c>
      <c r="Z13" s="16" t="str">
        <v>--</v>
      </c>
      <c r="AA13" s="16" t="str">
        <v>--</v>
      </c>
      <c r="AB13" s="16" t="str">
        <v>--</v>
      </c>
      <c r="AC13" s="16" t="str">
        <v>--</v>
      </c>
      <c r="AD13" s="16" t="str">
        <v>--</v>
      </c>
      <c r="AE13" s="16" t="str">
        <v>--</v>
      </c>
      <c r="AF13" s="16" t="str">
        <v>--</v>
      </c>
      <c r="AG13" s="16" t="str">
        <v>--</v>
      </c>
      <c r="AH13" s="16" t="str">
        <v>--</v>
      </c>
      <c r="AI13" s="16" t="str">
        <v>--</v>
      </c>
      <c r="AJ13" s="16" t="str">
        <v>--</v>
      </c>
      <c r="AK13" s="16" t="str">
        <v>--</v>
      </c>
      <c r="AL13" s="16" t="str">
        <v>--</v>
      </c>
      <c r="AM13" s="16" t="str">
        <v>--</v>
      </c>
      <c r="AN13" s="16" t="str">
        <v>--</v>
      </c>
      <c r="AO13" s="16" t="str">
        <v>--</v>
      </c>
      <c r="AP13" s="16" t="str">
        <v>--</v>
      </c>
      <c r="AQ13" s="16" t="str">
        <v>--</v>
      </c>
      <c r="AR13" s="16" t="str">
        <v>--</v>
      </c>
      <c r="AS13" s="16" t="str">
        <v>--</v>
      </c>
      <c r="AT13" s="16" t="str">
        <v>--</v>
      </c>
      <c r="AU13" s="16" t="str">
        <v>--</v>
      </c>
      <c r="AV13" s="16" t="str">
        <v>--</v>
      </c>
      <c r="AW13" s="16" t="str">
        <v>--</v>
      </c>
      <c r="AX13" s="16" t="str">
        <v>--</v>
      </c>
      <c r="AY13" s="16" t="str">
        <v>--</v>
      </c>
      <c r="AZ13" s="17" t="str">
        <v>--</v>
      </c>
      <c r="BA13" s="52" t="str">
        <v>--</v>
      </c>
      <c r="BB13" s="53" t="str">
        <v>--</v>
      </c>
      <c r="BC13" s="20" t="str">
        <v>--</v>
      </c>
      <c r="BD13" s="16" t="str">
        <v>--</v>
      </c>
      <c r="BE13" s="16" t="str">
        <v>--</v>
      </c>
      <c r="BF13" s="16" t="str">
        <v>--</v>
      </c>
      <c r="BG13" s="16" t="str">
        <v>--</v>
      </c>
      <c r="BH13" s="16" t="str">
        <v>--</v>
      </c>
      <c r="BI13" s="16" t="str">
        <v>--</v>
      </c>
      <c r="BL13" s="62">
        <f t="shared" si="0"/>
        <v>0</v>
      </c>
      <c r="BM13" s="63" t="s">
        <v>16</v>
      </c>
      <c r="BN13" s="64"/>
      <c r="BO13" s="64"/>
      <c r="BP13" s="63">
        <f t="shared" si="1"/>
        <v>0</v>
      </c>
      <c r="BQ13" s="70" t="e">
        <f t="shared" si="2"/>
        <v>#DIV/0!</v>
      </c>
    </row>
    <row r="14" spans="3:69" x14ac:dyDescent="0.2">
      <c r="C14" s="15">
        <v>22</v>
      </c>
      <c r="D14" s="16" t="str">
        <v>--</v>
      </c>
      <c r="E14" s="16" t="str">
        <v>--</v>
      </c>
      <c r="F14" s="16" t="str">
        <v>--</v>
      </c>
      <c r="G14" s="16" t="str">
        <v>--</v>
      </c>
      <c r="H14" s="16" t="str">
        <v>--</v>
      </c>
      <c r="I14" s="16" t="str">
        <v>--</v>
      </c>
      <c r="J14" s="16" t="str">
        <v>--</v>
      </c>
      <c r="K14" s="16" t="str">
        <v>--</v>
      </c>
      <c r="L14" s="16" t="str">
        <v>--</v>
      </c>
      <c r="M14" s="16" t="str">
        <v>--</v>
      </c>
      <c r="N14" s="16" t="str">
        <v>--</v>
      </c>
      <c r="O14" s="16" t="str">
        <v>--</v>
      </c>
      <c r="P14" s="16" t="str">
        <v>--</v>
      </c>
      <c r="Q14" s="16" t="str">
        <v>--</v>
      </c>
      <c r="R14" s="16" t="str">
        <v>--</v>
      </c>
      <c r="S14" s="16" t="str">
        <v>--</v>
      </c>
      <c r="T14" s="16" t="str">
        <v>--</v>
      </c>
      <c r="U14" s="16" t="str">
        <v>--</v>
      </c>
      <c r="V14" s="16" t="str">
        <v>--</v>
      </c>
      <c r="W14" s="16" t="str">
        <v>--</v>
      </c>
      <c r="X14" s="16" t="str">
        <v>--</v>
      </c>
      <c r="Y14" s="16" t="str">
        <v>--</v>
      </c>
      <c r="Z14" s="16" t="str">
        <v>--</v>
      </c>
      <c r="AA14" s="16" t="str">
        <v>--</v>
      </c>
      <c r="AB14" s="16" t="str">
        <v>--</v>
      </c>
      <c r="AC14" s="16" t="str">
        <v>--</v>
      </c>
      <c r="AD14" s="16" t="str">
        <v>--</v>
      </c>
      <c r="AE14" s="16" t="str">
        <v>--</v>
      </c>
      <c r="AF14" s="16" t="str">
        <v>--</v>
      </c>
      <c r="AG14" s="16" t="str">
        <v>--</v>
      </c>
      <c r="AH14" s="16" t="str">
        <v>--</v>
      </c>
      <c r="AI14" s="16" t="str">
        <v>--</v>
      </c>
      <c r="AJ14" s="16" t="str">
        <v>--</v>
      </c>
      <c r="AK14" s="16" t="str">
        <v>--</v>
      </c>
      <c r="AL14" s="16" t="str">
        <v>--</v>
      </c>
      <c r="AM14" s="16" t="str">
        <v>--</v>
      </c>
      <c r="AN14" s="16" t="str">
        <v>--</v>
      </c>
      <c r="AO14" s="16" t="str">
        <v>--</v>
      </c>
      <c r="AP14" s="16" t="str">
        <v>--</v>
      </c>
      <c r="AQ14" s="16" t="str">
        <v>--</v>
      </c>
      <c r="AR14" s="16" t="str">
        <v>--</v>
      </c>
      <c r="AS14" s="16" t="str">
        <v>--</v>
      </c>
      <c r="AT14" s="16" t="str">
        <v>--</v>
      </c>
      <c r="AU14" s="16" t="str">
        <v>--</v>
      </c>
      <c r="AV14" s="16" t="str">
        <v>--</v>
      </c>
      <c r="AW14" s="16" t="str">
        <v>--</v>
      </c>
      <c r="AX14" s="16" t="str">
        <v>--</v>
      </c>
      <c r="AY14" s="16" t="str">
        <v>--</v>
      </c>
      <c r="AZ14" s="17" t="str">
        <v>--</v>
      </c>
      <c r="BA14" s="52" t="str">
        <v>--</v>
      </c>
      <c r="BB14" s="53" t="str">
        <v>--</v>
      </c>
      <c r="BC14" s="20" t="str">
        <v>--</v>
      </c>
      <c r="BD14" s="16" t="str">
        <v>--</v>
      </c>
      <c r="BE14" s="16" t="str">
        <v>--</v>
      </c>
      <c r="BF14" s="16" t="str">
        <v>--</v>
      </c>
      <c r="BG14" s="16" t="str">
        <v>--</v>
      </c>
      <c r="BH14" s="16" t="str">
        <v>--</v>
      </c>
      <c r="BI14" s="16" t="str">
        <v>--</v>
      </c>
      <c r="BL14" s="62">
        <f t="shared" si="0"/>
        <v>0</v>
      </c>
      <c r="BM14" s="63" t="s">
        <v>16</v>
      </c>
      <c r="BN14" s="64"/>
      <c r="BO14" s="64"/>
      <c r="BP14" s="63">
        <f t="shared" si="1"/>
        <v>0</v>
      </c>
      <c r="BQ14" s="70" t="e">
        <f t="shared" si="2"/>
        <v>#DIV/0!</v>
      </c>
    </row>
    <row r="15" spans="3:69" x14ac:dyDescent="0.2">
      <c r="C15" s="15">
        <v>21</v>
      </c>
      <c r="D15" s="16" t="str">
        <v>--</v>
      </c>
      <c r="E15" s="16" t="str">
        <v>--</v>
      </c>
      <c r="F15" s="16" t="str">
        <v>--</v>
      </c>
      <c r="G15" s="16" t="str">
        <v>--</v>
      </c>
      <c r="H15" s="16" t="str">
        <v>--</v>
      </c>
      <c r="I15" s="16" t="str">
        <v>--</v>
      </c>
      <c r="J15" s="16" t="str">
        <v>--</v>
      </c>
      <c r="K15" s="16" t="str">
        <v>--</v>
      </c>
      <c r="L15" s="16" t="str">
        <v>--</v>
      </c>
      <c r="M15" s="16" t="str">
        <v>--</v>
      </c>
      <c r="N15" s="16" t="str">
        <v>--</v>
      </c>
      <c r="O15" s="16" t="str">
        <v>--</v>
      </c>
      <c r="P15" s="16" t="str">
        <v>--</v>
      </c>
      <c r="Q15" s="16" t="str">
        <v>--</v>
      </c>
      <c r="R15" s="16" t="str">
        <v>--</v>
      </c>
      <c r="S15" s="16" t="str">
        <v>--</v>
      </c>
      <c r="T15" s="16" t="str">
        <v>--</v>
      </c>
      <c r="U15" s="16" t="str">
        <v>--</v>
      </c>
      <c r="V15" s="16" t="str">
        <v>--</v>
      </c>
      <c r="W15" s="16" t="str">
        <v>--</v>
      </c>
      <c r="X15" s="16" t="str">
        <v>--</v>
      </c>
      <c r="Y15" s="16" t="str">
        <v>--</v>
      </c>
      <c r="Z15" s="16" t="str">
        <v>--</v>
      </c>
      <c r="AA15" s="16" t="str">
        <v>--</v>
      </c>
      <c r="AB15" s="16" t="str">
        <v>--</v>
      </c>
      <c r="AC15" s="16" t="str">
        <v>--</v>
      </c>
      <c r="AD15" s="16" t="str">
        <v>--</v>
      </c>
      <c r="AE15" s="16" t="str">
        <v>--</v>
      </c>
      <c r="AF15" s="16" t="str">
        <v>--</v>
      </c>
      <c r="AG15" s="16" t="str">
        <v>--</v>
      </c>
      <c r="AH15" s="16" t="str">
        <v>--</v>
      </c>
      <c r="AI15" s="16" t="str">
        <v>--</v>
      </c>
      <c r="AJ15" s="16" t="str">
        <v>--</v>
      </c>
      <c r="AK15" s="16" t="str">
        <v>--</v>
      </c>
      <c r="AL15" s="16" t="str">
        <v>--</v>
      </c>
      <c r="AM15" s="16" t="str">
        <v>--</v>
      </c>
      <c r="AN15" s="16" t="str">
        <v>--</v>
      </c>
      <c r="AO15" s="16" t="str">
        <v>--</v>
      </c>
      <c r="AP15" s="16" t="str">
        <v>--</v>
      </c>
      <c r="AQ15" s="16" t="str">
        <v>--</v>
      </c>
      <c r="AR15" s="16" t="str">
        <v>--</v>
      </c>
      <c r="AS15" s="16" t="str">
        <v>--</v>
      </c>
      <c r="AT15" s="16" t="str">
        <v>--</v>
      </c>
      <c r="AU15" s="16" t="str">
        <v>--</v>
      </c>
      <c r="AV15" s="16" t="str">
        <v>--</v>
      </c>
      <c r="AW15" s="16" t="str">
        <v>--</v>
      </c>
      <c r="AX15" s="16" t="str">
        <v>--</v>
      </c>
      <c r="AY15" s="16" t="str">
        <v>--</v>
      </c>
      <c r="AZ15" s="17" t="str">
        <v>--</v>
      </c>
      <c r="BA15" s="52" t="str">
        <v>--</v>
      </c>
      <c r="BB15" s="53" t="str">
        <v>--</v>
      </c>
      <c r="BC15" s="20" t="str">
        <v>--</v>
      </c>
      <c r="BD15" s="16" t="str">
        <v>--</v>
      </c>
      <c r="BE15" s="16" t="str">
        <v>--</v>
      </c>
      <c r="BF15" s="16" t="str">
        <v>--</v>
      </c>
      <c r="BG15" s="16" t="str">
        <v>--</v>
      </c>
      <c r="BH15" s="16" t="str">
        <v>--</v>
      </c>
      <c r="BI15" s="16" t="str">
        <v>--</v>
      </c>
      <c r="BL15" s="62">
        <f t="shared" si="0"/>
        <v>0</v>
      </c>
      <c r="BM15" s="63" t="s">
        <v>16</v>
      </c>
      <c r="BN15" s="64"/>
      <c r="BO15" s="64"/>
      <c r="BP15" s="63">
        <f t="shared" si="1"/>
        <v>0</v>
      </c>
      <c r="BQ15" s="70" t="e">
        <f t="shared" si="2"/>
        <v>#DIV/0!</v>
      </c>
    </row>
    <row r="16" spans="3:69" x14ac:dyDescent="0.2">
      <c r="C16" s="15">
        <v>20</v>
      </c>
      <c r="D16" s="16" t="str">
        <v>--</v>
      </c>
      <c r="E16" s="16" t="str">
        <v>--</v>
      </c>
      <c r="F16" s="16" t="str">
        <v>--</v>
      </c>
      <c r="G16" s="16" t="str">
        <v>--</v>
      </c>
      <c r="H16" s="16" t="str">
        <v>--</v>
      </c>
      <c r="I16" s="16" t="str">
        <v>--</v>
      </c>
      <c r="J16" s="16" t="str">
        <v>--</v>
      </c>
      <c r="K16" s="16" t="str">
        <v>--</v>
      </c>
      <c r="L16" s="16" t="str">
        <v>--</v>
      </c>
      <c r="M16" s="16" t="str">
        <v>--</v>
      </c>
      <c r="N16" s="16" t="str">
        <v>--</v>
      </c>
      <c r="O16" s="16" t="str">
        <v>--</v>
      </c>
      <c r="P16" s="16" t="str">
        <v>--</v>
      </c>
      <c r="Q16" s="16" t="str">
        <v>--</v>
      </c>
      <c r="R16" s="16" t="str">
        <v>--</v>
      </c>
      <c r="S16" s="16" t="str">
        <v>--</v>
      </c>
      <c r="T16" s="16" t="str">
        <v>--</v>
      </c>
      <c r="U16" s="16" t="str">
        <v>--</v>
      </c>
      <c r="V16" s="16" t="str">
        <v>--</v>
      </c>
      <c r="W16" s="16" t="str">
        <v>--</v>
      </c>
      <c r="X16" s="16" t="str">
        <v>--</v>
      </c>
      <c r="Y16" s="16" t="str">
        <v>--</v>
      </c>
      <c r="Z16" s="16" t="str">
        <v>--</v>
      </c>
      <c r="AA16" s="16" t="str">
        <v>--</v>
      </c>
      <c r="AB16" s="16" t="str">
        <v>--</v>
      </c>
      <c r="AC16" s="16" t="str">
        <v>--</v>
      </c>
      <c r="AD16" s="16" t="str">
        <v>--</v>
      </c>
      <c r="AE16" s="16" t="str">
        <v>--</v>
      </c>
      <c r="AF16" s="16" t="str">
        <v>--</v>
      </c>
      <c r="AG16" s="16" t="str">
        <v>--</v>
      </c>
      <c r="AH16" s="16" t="str">
        <v>--</v>
      </c>
      <c r="AI16" s="16" t="str">
        <v>--</v>
      </c>
      <c r="AJ16" s="16" t="str">
        <v>--</v>
      </c>
      <c r="AK16" s="16" t="str">
        <v>--</v>
      </c>
      <c r="AL16" s="16" t="str">
        <v>--</v>
      </c>
      <c r="AM16" s="16" t="str">
        <v>--</v>
      </c>
      <c r="AN16" s="16" t="str">
        <v>--</v>
      </c>
      <c r="AO16" s="16" t="str">
        <v>--</v>
      </c>
      <c r="AP16" s="16" t="str">
        <v>--</v>
      </c>
      <c r="AQ16" s="16" t="str">
        <v>--</v>
      </c>
      <c r="AR16" s="16" t="str">
        <v>--</v>
      </c>
      <c r="AS16" s="16" t="str">
        <v>--</v>
      </c>
      <c r="AT16" s="16" t="str">
        <v>--</v>
      </c>
      <c r="AU16" s="16" t="str">
        <v>--</v>
      </c>
      <c r="AV16" s="16" t="str">
        <v>--</v>
      </c>
      <c r="AW16" s="16" t="str">
        <v>--</v>
      </c>
      <c r="AX16" s="16" t="str">
        <v>--</v>
      </c>
      <c r="AY16" s="16" t="str">
        <v>--</v>
      </c>
      <c r="AZ16" s="17" t="str">
        <v>--</v>
      </c>
      <c r="BA16" s="52" t="str">
        <v>--</v>
      </c>
      <c r="BB16" s="53" t="str">
        <v>--</v>
      </c>
      <c r="BC16" s="20" t="str">
        <v>--</v>
      </c>
      <c r="BD16" s="16" t="str">
        <v>--</v>
      </c>
      <c r="BE16" s="16" t="str">
        <v>--</v>
      </c>
      <c r="BF16" s="16" t="str">
        <v>--</v>
      </c>
      <c r="BG16" s="16" t="str">
        <v>--</v>
      </c>
      <c r="BH16" s="16" t="str">
        <v>--</v>
      </c>
      <c r="BI16" s="16" t="str">
        <v>--</v>
      </c>
      <c r="BL16" s="62">
        <f t="shared" si="0"/>
        <v>0</v>
      </c>
      <c r="BM16" s="63" t="s">
        <v>16</v>
      </c>
      <c r="BN16" s="64"/>
      <c r="BO16" s="64"/>
      <c r="BP16" s="63">
        <f t="shared" si="1"/>
        <v>0</v>
      </c>
      <c r="BQ16" s="70" t="e">
        <f t="shared" si="2"/>
        <v>#DIV/0!</v>
      </c>
    </row>
    <row r="17" spans="2:69" x14ac:dyDescent="0.2">
      <c r="C17" s="15">
        <v>19</v>
      </c>
      <c r="D17" s="16" t="str">
        <v>--</v>
      </c>
      <c r="E17" s="16" t="str">
        <v>--</v>
      </c>
      <c r="F17" s="16" t="str">
        <v>--</v>
      </c>
      <c r="G17" s="16" t="str">
        <v>--</v>
      </c>
      <c r="H17" s="16" t="str">
        <v>--</v>
      </c>
      <c r="I17" s="16" t="str">
        <v>--</v>
      </c>
      <c r="J17" s="16" t="str">
        <v>--</v>
      </c>
      <c r="K17" s="16" t="str">
        <v>--</v>
      </c>
      <c r="L17" s="16" t="str">
        <v>--</v>
      </c>
      <c r="M17" s="16" t="str">
        <v>--</v>
      </c>
      <c r="N17" s="16" t="str">
        <v>--</v>
      </c>
      <c r="O17" s="16" t="str">
        <v>--</v>
      </c>
      <c r="P17" s="16" t="str">
        <v>--</v>
      </c>
      <c r="Q17" s="16" t="str">
        <v>--</v>
      </c>
      <c r="R17" s="16" t="str">
        <v>--</v>
      </c>
      <c r="S17" s="16" t="str">
        <v>--</v>
      </c>
      <c r="T17" s="16" t="str">
        <v>--</v>
      </c>
      <c r="U17" s="16" t="str">
        <v>--</v>
      </c>
      <c r="V17" s="16" t="str">
        <v>--</v>
      </c>
      <c r="W17" s="16" t="str">
        <v>--</v>
      </c>
      <c r="X17" s="16" t="str">
        <v>--</v>
      </c>
      <c r="Y17" s="16" t="str">
        <v>--</v>
      </c>
      <c r="Z17" s="16" t="str">
        <v>--</v>
      </c>
      <c r="AA17" s="16" t="str">
        <v>--</v>
      </c>
      <c r="AB17" s="16" t="str">
        <v>--</v>
      </c>
      <c r="AC17" s="16" t="str">
        <v>--</v>
      </c>
      <c r="AD17" s="16" t="str">
        <v>--</v>
      </c>
      <c r="AE17" s="16" t="str">
        <v>--</v>
      </c>
      <c r="AF17" s="16" t="str">
        <v>--</v>
      </c>
      <c r="AG17" s="16" t="str">
        <v>--</v>
      </c>
      <c r="AH17" s="16" t="str">
        <v>--</v>
      </c>
      <c r="AI17" s="16" t="str">
        <v>--</v>
      </c>
      <c r="AJ17" s="16" t="str">
        <v>--</v>
      </c>
      <c r="AK17" s="16" t="str">
        <v>--</v>
      </c>
      <c r="AL17" s="16" t="str">
        <v>--</v>
      </c>
      <c r="AM17" s="16" t="str">
        <v>--</v>
      </c>
      <c r="AN17" s="16" t="str">
        <v>--</v>
      </c>
      <c r="AO17" s="16" t="str">
        <v>--</v>
      </c>
      <c r="AP17" s="16" t="str">
        <v>--</v>
      </c>
      <c r="AQ17" s="16" t="str">
        <v>--</v>
      </c>
      <c r="AR17" s="16" t="str">
        <v>--</v>
      </c>
      <c r="AS17" s="16" t="str">
        <v>--</v>
      </c>
      <c r="AT17" s="16" t="str">
        <v>--</v>
      </c>
      <c r="AU17" s="16" t="str">
        <v>--</v>
      </c>
      <c r="AV17" s="16" t="str">
        <v>--</v>
      </c>
      <c r="AW17" s="16" t="str">
        <v>--</v>
      </c>
      <c r="AX17" s="16" t="str">
        <v>--</v>
      </c>
      <c r="AY17" s="16" t="str">
        <v>--</v>
      </c>
      <c r="AZ17" s="17" t="str">
        <v>--</v>
      </c>
      <c r="BA17" s="52" t="str">
        <v>--</v>
      </c>
      <c r="BB17" s="53" t="str">
        <v>--</v>
      </c>
      <c r="BC17" s="20" t="str">
        <v>--</v>
      </c>
      <c r="BD17" s="16" t="str">
        <v>--</v>
      </c>
      <c r="BE17" s="16" t="str">
        <v>--</v>
      </c>
      <c r="BF17" s="16" t="str">
        <v>--</v>
      </c>
      <c r="BG17" s="16" t="str">
        <v>--</v>
      </c>
      <c r="BH17" s="16" t="str">
        <v>--</v>
      </c>
      <c r="BI17" s="16" t="str">
        <v>--</v>
      </c>
      <c r="BL17" s="62">
        <f t="shared" si="0"/>
        <v>0</v>
      </c>
      <c r="BM17" s="63" t="s">
        <v>16</v>
      </c>
      <c r="BN17" s="64"/>
      <c r="BO17" s="64"/>
      <c r="BP17" s="63">
        <f t="shared" si="1"/>
        <v>0</v>
      </c>
      <c r="BQ17" s="70" t="e">
        <f t="shared" si="2"/>
        <v>#DIV/0!</v>
      </c>
    </row>
    <row r="18" spans="2:69" x14ac:dyDescent="0.2">
      <c r="C18" s="15">
        <v>18</v>
      </c>
      <c r="D18" s="16" t="str">
        <v>--</v>
      </c>
      <c r="E18" s="16" t="str">
        <v>--</v>
      </c>
      <c r="F18" s="16" t="str">
        <v>--</v>
      </c>
      <c r="G18" s="16" t="str">
        <v>--</v>
      </c>
      <c r="H18" s="16" t="str">
        <v>--</v>
      </c>
      <c r="I18" s="16" t="str">
        <v>--</v>
      </c>
      <c r="J18" s="16" t="str">
        <v>--</v>
      </c>
      <c r="K18" s="16" t="str">
        <v>--</v>
      </c>
      <c r="L18" s="16" t="str">
        <v>--</v>
      </c>
      <c r="M18" s="16" t="str">
        <v>--</v>
      </c>
      <c r="N18" s="16" t="str">
        <v>--</v>
      </c>
      <c r="O18" s="16" t="str">
        <v>--</v>
      </c>
      <c r="P18" s="16" t="str">
        <v>--</v>
      </c>
      <c r="Q18" s="16" t="str">
        <v>--</v>
      </c>
      <c r="R18" s="16" t="str">
        <v>--</v>
      </c>
      <c r="S18" s="16" t="str">
        <v>--</v>
      </c>
      <c r="T18" s="16" t="str">
        <v>--</v>
      </c>
      <c r="U18" s="16" t="str">
        <v>--</v>
      </c>
      <c r="V18" s="16" t="str">
        <v>--</v>
      </c>
      <c r="W18" s="16" t="str">
        <v>--</v>
      </c>
      <c r="X18" s="16" t="str">
        <v>--</v>
      </c>
      <c r="Y18" s="16" t="str">
        <v>--</v>
      </c>
      <c r="Z18" s="16" t="str">
        <v>--</v>
      </c>
      <c r="AA18" s="16" t="str">
        <v>--</v>
      </c>
      <c r="AB18" s="16" t="str">
        <v>--</v>
      </c>
      <c r="AC18" s="16" t="str">
        <v>--</v>
      </c>
      <c r="AD18" s="16" t="str">
        <v>--</v>
      </c>
      <c r="AE18" s="16" t="str">
        <v>--</v>
      </c>
      <c r="AF18" s="16" t="str">
        <v>--</v>
      </c>
      <c r="AG18" s="16" t="str">
        <v>--</v>
      </c>
      <c r="AH18" s="16" t="str">
        <v>--</v>
      </c>
      <c r="AI18" s="16" t="str">
        <v>--</v>
      </c>
      <c r="AJ18" s="16" t="str">
        <v>--</v>
      </c>
      <c r="AK18" s="16" t="str">
        <v>--</v>
      </c>
      <c r="AL18" s="16" t="str">
        <v>--</v>
      </c>
      <c r="AM18" s="16" t="str">
        <v>--</v>
      </c>
      <c r="AN18" s="16" t="str">
        <v>--</v>
      </c>
      <c r="AO18" s="16" t="str">
        <v>--</v>
      </c>
      <c r="AP18" s="16" t="str">
        <v>--</v>
      </c>
      <c r="AQ18" s="16" t="str">
        <v>--</v>
      </c>
      <c r="AR18" s="16" t="str">
        <v>--</v>
      </c>
      <c r="AS18" s="16" t="str">
        <v>--</v>
      </c>
      <c r="AT18" s="16" t="str">
        <v>--</v>
      </c>
      <c r="AU18" s="16" t="str">
        <v>--</v>
      </c>
      <c r="AV18" s="16" t="str">
        <v>--</v>
      </c>
      <c r="AW18" s="16" t="str">
        <v>--</v>
      </c>
      <c r="AX18" s="16" t="str">
        <v>--</v>
      </c>
      <c r="AY18" s="16" t="str">
        <v>--</v>
      </c>
      <c r="AZ18" s="17" t="str">
        <v>--</v>
      </c>
      <c r="BA18" s="52" t="str">
        <v>--</v>
      </c>
      <c r="BB18" s="53" t="str">
        <v>--</v>
      </c>
      <c r="BC18" s="20" t="str">
        <v>--</v>
      </c>
      <c r="BD18" s="16" t="str">
        <v>--</v>
      </c>
      <c r="BE18" s="16" t="str">
        <v>--</v>
      </c>
      <c r="BF18" s="16" t="str">
        <v>--</v>
      </c>
      <c r="BG18" s="16" t="str">
        <v>--</v>
      </c>
      <c r="BH18" s="16" t="str">
        <v>--</v>
      </c>
      <c r="BI18" s="16" t="str">
        <v>--</v>
      </c>
      <c r="BL18" s="62">
        <f t="shared" si="0"/>
        <v>0</v>
      </c>
      <c r="BM18" s="63" t="s">
        <v>16</v>
      </c>
      <c r="BN18" s="64"/>
      <c r="BO18" s="64"/>
      <c r="BP18" s="63">
        <f t="shared" si="1"/>
        <v>0</v>
      </c>
      <c r="BQ18" s="70" t="e">
        <f t="shared" si="2"/>
        <v>#DIV/0!</v>
      </c>
    </row>
    <row r="19" spans="2:69" x14ac:dyDescent="0.2">
      <c r="C19" s="15">
        <v>17</v>
      </c>
      <c r="D19" s="16" t="str">
        <v>--</v>
      </c>
      <c r="E19" s="16" t="str">
        <v>--</v>
      </c>
      <c r="F19" s="16" t="str">
        <v>--</v>
      </c>
      <c r="G19" s="16" t="str">
        <v>--</v>
      </c>
      <c r="H19" s="16" t="str">
        <v>--</v>
      </c>
      <c r="I19" s="16" t="str">
        <v>--</v>
      </c>
      <c r="J19" s="16" t="str">
        <v>--</v>
      </c>
      <c r="K19" s="16" t="str">
        <v>--</v>
      </c>
      <c r="L19" s="16" t="str">
        <v>--</v>
      </c>
      <c r="M19" s="16" t="str">
        <v>--</v>
      </c>
      <c r="N19" s="16" t="str">
        <v>--</v>
      </c>
      <c r="O19" s="16" t="str">
        <v>--</v>
      </c>
      <c r="P19" s="16" t="str">
        <v>--</v>
      </c>
      <c r="Q19" s="16" t="str">
        <v>--</v>
      </c>
      <c r="R19" s="16" t="str">
        <v>--</v>
      </c>
      <c r="S19" s="16" t="str">
        <v>--</v>
      </c>
      <c r="T19" s="16" t="str">
        <v>--</v>
      </c>
      <c r="U19" s="16" t="str">
        <v>--</v>
      </c>
      <c r="V19" s="16" t="str">
        <v>--</v>
      </c>
      <c r="W19" s="16" t="str">
        <v>--</v>
      </c>
      <c r="X19" s="16" t="str">
        <v>--</v>
      </c>
      <c r="Y19" s="16" t="str">
        <v>--</v>
      </c>
      <c r="Z19" s="16" t="str">
        <v>--</v>
      </c>
      <c r="AA19" s="16" t="str">
        <v>--</v>
      </c>
      <c r="AB19" s="16" t="str">
        <v>--</v>
      </c>
      <c r="AC19" s="16" t="str">
        <v>--</v>
      </c>
      <c r="AD19" s="16" t="str">
        <v>--</v>
      </c>
      <c r="AE19" s="16" t="str">
        <v>--</v>
      </c>
      <c r="AF19" s="16" t="str">
        <v>--</v>
      </c>
      <c r="AG19" s="16" t="str">
        <v>--</v>
      </c>
      <c r="AH19" s="16" t="str">
        <v>--</v>
      </c>
      <c r="AI19" s="16" t="str">
        <v>--</v>
      </c>
      <c r="AJ19" s="16" t="str">
        <v>--</v>
      </c>
      <c r="AK19" s="16" t="str">
        <v>--</v>
      </c>
      <c r="AL19" s="16" t="str">
        <v>--</v>
      </c>
      <c r="AM19" s="16" t="str">
        <v>--</v>
      </c>
      <c r="AN19" s="16" t="str">
        <v>--</v>
      </c>
      <c r="AO19" s="16" t="str">
        <v>--</v>
      </c>
      <c r="AP19" s="16" t="str">
        <v>--</v>
      </c>
      <c r="AQ19" s="16" t="str">
        <v>--</v>
      </c>
      <c r="AR19" s="16" t="str">
        <v>--</v>
      </c>
      <c r="AS19" s="16" t="str">
        <v>--</v>
      </c>
      <c r="AT19" s="16" t="str">
        <v>--</v>
      </c>
      <c r="AU19" s="16" t="str">
        <v>--</v>
      </c>
      <c r="AV19" s="16" t="str">
        <v>--</v>
      </c>
      <c r="AW19" s="16" t="str">
        <v>--</v>
      </c>
      <c r="AX19" s="16" t="str">
        <v>--</v>
      </c>
      <c r="AY19" s="16" t="str">
        <v>--</v>
      </c>
      <c r="AZ19" s="17" t="str">
        <v>--</v>
      </c>
      <c r="BA19" s="52" t="str">
        <v>--</v>
      </c>
      <c r="BB19" s="53" t="str">
        <v>--</v>
      </c>
      <c r="BC19" s="20" t="str">
        <v>--</v>
      </c>
      <c r="BD19" s="16" t="str">
        <v>--</v>
      </c>
      <c r="BE19" s="16" t="str">
        <v>--</v>
      </c>
      <c r="BF19" s="16" t="str">
        <v>--</v>
      </c>
      <c r="BG19" s="16" t="str">
        <v>--</v>
      </c>
      <c r="BH19" s="16" t="str">
        <v>--</v>
      </c>
      <c r="BI19" s="16" t="str">
        <v>--</v>
      </c>
      <c r="BL19" s="62">
        <f t="shared" si="0"/>
        <v>0</v>
      </c>
      <c r="BM19" s="63" t="s">
        <v>16</v>
      </c>
      <c r="BN19" s="64"/>
      <c r="BO19" s="64"/>
      <c r="BP19" s="63">
        <f t="shared" si="1"/>
        <v>0</v>
      </c>
      <c r="BQ19" s="70" t="e">
        <f t="shared" si="2"/>
        <v>#DIV/0!</v>
      </c>
    </row>
    <row r="20" spans="2:69" x14ac:dyDescent="0.2">
      <c r="C20" s="15">
        <v>16</v>
      </c>
      <c r="D20" s="16" t="str">
        <v>--</v>
      </c>
      <c r="E20" s="16" t="str">
        <v>--</v>
      </c>
      <c r="F20" s="16" t="str">
        <v>--</v>
      </c>
      <c r="G20" s="16" t="str">
        <v>--</v>
      </c>
      <c r="H20" s="16" t="str">
        <v>--</v>
      </c>
      <c r="I20" s="16" t="str">
        <v>--</v>
      </c>
      <c r="J20" s="16" t="str">
        <v>--</v>
      </c>
      <c r="K20" s="16" t="str">
        <v>--</v>
      </c>
      <c r="L20" s="16" t="str">
        <v>--</v>
      </c>
      <c r="M20" s="16" t="str">
        <v>--</v>
      </c>
      <c r="N20" s="16" t="str">
        <v>--</v>
      </c>
      <c r="O20" s="16" t="str">
        <v>--</v>
      </c>
      <c r="P20" s="16" t="str">
        <v>--</v>
      </c>
      <c r="Q20" s="16" t="str">
        <v>--</v>
      </c>
      <c r="R20" s="16" t="str">
        <v>--</v>
      </c>
      <c r="S20" s="16" t="str">
        <v>--</v>
      </c>
      <c r="T20" s="16" t="str">
        <v>--</v>
      </c>
      <c r="U20" s="16" t="str">
        <v>--</v>
      </c>
      <c r="V20" s="16" t="str">
        <v>--</v>
      </c>
      <c r="W20" s="16" t="str">
        <v>--</v>
      </c>
      <c r="X20" s="16" t="str">
        <v>--</v>
      </c>
      <c r="Y20" s="16" t="str">
        <v>--</v>
      </c>
      <c r="Z20" s="16" t="str">
        <v>--</v>
      </c>
      <c r="AA20" s="16" t="str">
        <v>--</v>
      </c>
      <c r="AB20" s="16" t="str">
        <v>--</v>
      </c>
      <c r="AC20" s="16" t="str">
        <v>--</v>
      </c>
      <c r="AD20" s="16" t="str">
        <v>--</v>
      </c>
      <c r="AE20" s="16" t="str">
        <v>--</v>
      </c>
      <c r="AF20" s="16" t="str">
        <v>--</v>
      </c>
      <c r="AG20" s="16" t="str">
        <v>--</v>
      </c>
      <c r="AH20" s="16" t="str">
        <v>--</v>
      </c>
      <c r="AI20" s="16" t="str">
        <v>--</v>
      </c>
      <c r="AJ20" s="16" t="str">
        <v>--</v>
      </c>
      <c r="AK20" s="16" t="str">
        <v>--</v>
      </c>
      <c r="AL20" s="16" t="str">
        <v>--</v>
      </c>
      <c r="AM20" s="16" t="str">
        <v>--</v>
      </c>
      <c r="AN20" s="16" t="str">
        <v>--</v>
      </c>
      <c r="AO20" s="16" t="str">
        <v>--</v>
      </c>
      <c r="AP20" s="16" t="str">
        <v>--</v>
      </c>
      <c r="AQ20" s="16" t="str">
        <v>--</v>
      </c>
      <c r="AR20" s="16" t="str">
        <v>--</v>
      </c>
      <c r="AS20" s="16" t="str">
        <v>--</v>
      </c>
      <c r="AT20" s="16" t="str">
        <v>--</v>
      </c>
      <c r="AU20" s="16" t="str">
        <v>--</v>
      </c>
      <c r="AV20" s="16" t="str">
        <v>--</v>
      </c>
      <c r="AW20" s="16" t="str">
        <v>--</v>
      </c>
      <c r="AX20" s="16" t="str">
        <v>--</v>
      </c>
      <c r="AY20" s="16" t="str">
        <v>--</v>
      </c>
      <c r="AZ20" s="17" t="str">
        <v>--</v>
      </c>
      <c r="BA20" s="52" t="str">
        <v>--</v>
      </c>
      <c r="BB20" s="53" t="str">
        <v>--</v>
      </c>
      <c r="BC20" s="20" t="str">
        <v>--</v>
      </c>
      <c r="BD20" s="16" t="str">
        <v>--</v>
      </c>
      <c r="BE20" s="16" t="str">
        <v>--</v>
      </c>
      <c r="BF20" s="16" t="str">
        <v>--</v>
      </c>
      <c r="BG20" s="16" t="str">
        <v>--</v>
      </c>
      <c r="BH20" s="16" t="str">
        <v>--</v>
      </c>
      <c r="BI20" s="16" t="str">
        <v>--</v>
      </c>
      <c r="BL20" s="62">
        <f t="shared" si="0"/>
        <v>0</v>
      </c>
      <c r="BM20" s="63" t="s">
        <v>16</v>
      </c>
      <c r="BN20" s="64"/>
      <c r="BO20" s="64"/>
      <c r="BP20" s="63">
        <f t="shared" si="1"/>
        <v>0</v>
      </c>
      <c r="BQ20" s="70" t="e">
        <f t="shared" si="2"/>
        <v>#DIV/0!</v>
      </c>
    </row>
    <row r="21" spans="2:69" x14ac:dyDescent="0.2">
      <c r="C21" s="15">
        <v>15</v>
      </c>
      <c r="D21" s="16" t="str">
        <v>--</v>
      </c>
      <c r="E21" s="16" t="str">
        <v>--</v>
      </c>
      <c r="F21" s="16" t="str">
        <v>--</v>
      </c>
      <c r="G21" s="16" t="str">
        <v>--</v>
      </c>
      <c r="H21" s="16" t="str">
        <v>--</v>
      </c>
      <c r="I21" s="16" t="str">
        <v>--</v>
      </c>
      <c r="J21" s="16" t="str">
        <v>--</v>
      </c>
      <c r="K21" s="16" t="str">
        <v>--</v>
      </c>
      <c r="L21" s="16" t="str">
        <v>--</v>
      </c>
      <c r="M21" s="16" t="str">
        <v>--</v>
      </c>
      <c r="N21" s="16" t="str">
        <v>--</v>
      </c>
      <c r="O21" s="16" t="str">
        <v>--</v>
      </c>
      <c r="P21" s="16" t="str">
        <v>--</v>
      </c>
      <c r="Q21" s="16" t="str">
        <v>--</v>
      </c>
      <c r="R21" s="16" t="str">
        <v>--</v>
      </c>
      <c r="S21" s="16" t="str">
        <v>--</v>
      </c>
      <c r="T21" s="16" t="str">
        <v>--</v>
      </c>
      <c r="U21" s="16" t="str">
        <v>--</v>
      </c>
      <c r="V21" s="16" t="str">
        <v>--</v>
      </c>
      <c r="W21" s="16" t="str">
        <v>--</v>
      </c>
      <c r="X21" s="16" t="str">
        <v>--</v>
      </c>
      <c r="Y21" s="16" t="str">
        <v>--</v>
      </c>
      <c r="Z21" s="16" t="str">
        <v>--</v>
      </c>
      <c r="AA21" s="16" t="str">
        <v>--</v>
      </c>
      <c r="AB21" s="16" t="str">
        <v>--</v>
      </c>
      <c r="AC21" s="16" t="str">
        <v>--</v>
      </c>
      <c r="AD21" s="16" t="str">
        <v>--</v>
      </c>
      <c r="AE21" s="16" t="str">
        <v>--</v>
      </c>
      <c r="AF21" s="16" t="str">
        <v>--</v>
      </c>
      <c r="AG21" s="16" t="str">
        <v>--</v>
      </c>
      <c r="AH21" s="16" t="str">
        <v>--</v>
      </c>
      <c r="AI21" s="16" t="str">
        <v>--</v>
      </c>
      <c r="AJ21" s="16" t="str">
        <v>--</v>
      </c>
      <c r="AK21" s="16" t="str">
        <v>--</v>
      </c>
      <c r="AL21" s="16" t="str">
        <v>--</v>
      </c>
      <c r="AM21" s="16" t="str">
        <v>--</v>
      </c>
      <c r="AN21" s="16" t="str">
        <v>--</v>
      </c>
      <c r="AO21" s="16" t="str">
        <v>--</v>
      </c>
      <c r="AP21" s="16" t="str">
        <v>--</v>
      </c>
      <c r="AQ21" s="16" t="str">
        <v>--</v>
      </c>
      <c r="AR21" s="16" t="str">
        <v>--</v>
      </c>
      <c r="AS21" s="16" t="str">
        <v>--</v>
      </c>
      <c r="AT21" s="16" t="str">
        <v>--</v>
      </c>
      <c r="AU21" s="16" t="str">
        <v>--</v>
      </c>
      <c r="AV21" s="16" t="str">
        <v>--</v>
      </c>
      <c r="AW21" s="16" t="str">
        <v>--</v>
      </c>
      <c r="AX21" s="16" t="str">
        <v>--</v>
      </c>
      <c r="AY21" s="16" t="str">
        <v>--</v>
      </c>
      <c r="AZ21" s="17" t="str">
        <v>--</v>
      </c>
      <c r="BA21" s="52" t="str">
        <v>--</v>
      </c>
      <c r="BB21" s="53" t="str">
        <v>--</v>
      </c>
      <c r="BC21" s="20" t="str">
        <v>--</v>
      </c>
      <c r="BD21" s="16" t="str">
        <v>--</v>
      </c>
      <c r="BE21" s="16" t="str">
        <v>--</v>
      </c>
      <c r="BF21" s="16" t="str">
        <v>--</v>
      </c>
      <c r="BG21" s="16" t="str">
        <v>--</v>
      </c>
      <c r="BH21" s="16" t="str">
        <v>--</v>
      </c>
      <c r="BI21" s="16" t="str">
        <v>--</v>
      </c>
      <c r="BL21" s="62">
        <f t="shared" si="0"/>
        <v>0</v>
      </c>
      <c r="BM21" s="63" t="s">
        <v>16</v>
      </c>
      <c r="BN21" s="64"/>
      <c r="BO21" s="64"/>
      <c r="BP21" s="63">
        <f t="shared" si="1"/>
        <v>0</v>
      </c>
      <c r="BQ21" s="70" t="e">
        <f t="shared" si="2"/>
        <v>#DIV/0!</v>
      </c>
    </row>
    <row r="22" spans="2:69" x14ac:dyDescent="0.2">
      <c r="C22" s="15">
        <v>14</v>
      </c>
      <c r="D22" s="16" t="str">
        <v>--</v>
      </c>
      <c r="E22" s="16" t="str">
        <v>--</v>
      </c>
      <c r="F22" s="16" t="str">
        <v>--</v>
      </c>
      <c r="G22" s="16" t="str">
        <v>--</v>
      </c>
      <c r="H22" s="16" t="str">
        <v>--</v>
      </c>
      <c r="I22" s="16" t="str">
        <v>--</v>
      </c>
      <c r="J22" s="16" t="str">
        <v>--</v>
      </c>
      <c r="K22" s="16" t="str">
        <v>--</v>
      </c>
      <c r="L22" s="16" t="str">
        <v>--</v>
      </c>
      <c r="M22" s="16" t="str">
        <v>--</v>
      </c>
      <c r="N22" s="16" t="str">
        <v>--</v>
      </c>
      <c r="O22" s="16" t="str">
        <v>--</v>
      </c>
      <c r="P22" s="16" t="str">
        <v>--</v>
      </c>
      <c r="Q22" s="16" t="str">
        <v>--</v>
      </c>
      <c r="R22" s="16" t="str">
        <v>--</v>
      </c>
      <c r="S22" s="16" t="str">
        <v>--</v>
      </c>
      <c r="T22" s="16" t="str">
        <v>--</v>
      </c>
      <c r="U22" s="16" t="str">
        <v>--</v>
      </c>
      <c r="V22" s="16" t="str">
        <v>--</v>
      </c>
      <c r="W22" s="16" t="str">
        <v>--</v>
      </c>
      <c r="X22" s="16" t="str">
        <v>--</v>
      </c>
      <c r="Y22" s="16" t="str">
        <v>--</v>
      </c>
      <c r="Z22" s="16" t="str">
        <v>--</v>
      </c>
      <c r="AA22" s="16" t="str">
        <v>--</v>
      </c>
      <c r="AB22" s="16" t="str">
        <v>--</v>
      </c>
      <c r="AC22" s="16" t="str">
        <v>--</v>
      </c>
      <c r="AD22" s="16" t="str">
        <v>--</v>
      </c>
      <c r="AE22" s="16" t="str">
        <v>--</v>
      </c>
      <c r="AF22" s="16" t="str">
        <v>--</v>
      </c>
      <c r="AG22" s="16" t="str">
        <v>--</v>
      </c>
      <c r="AH22" s="16" t="str">
        <v>--</v>
      </c>
      <c r="AI22" s="16" t="str">
        <v>--</v>
      </c>
      <c r="AJ22" s="16" t="str">
        <v>--</v>
      </c>
      <c r="AK22" s="16" t="str">
        <v>--</v>
      </c>
      <c r="AL22" s="16" t="str">
        <v>--</v>
      </c>
      <c r="AM22" s="16" t="str">
        <v>--</v>
      </c>
      <c r="AN22" s="16" t="str">
        <v>--</v>
      </c>
      <c r="AO22" s="16" t="str">
        <v>--</v>
      </c>
      <c r="AP22" s="16" t="str">
        <v>--</v>
      </c>
      <c r="AQ22" s="16" t="str">
        <v>--</v>
      </c>
      <c r="AR22" s="16" t="str">
        <v>--</v>
      </c>
      <c r="AS22" s="16" t="str">
        <v>--</v>
      </c>
      <c r="AT22" s="16" t="str">
        <v>--</v>
      </c>
      <c r="AU22" s="16" t="str">
        <v>--</v>
      </c>
      <c r="AV22" s="16" t="str">
        <v>--</v>
      </c>
      <c r="AW22" s="16" t="str">
        <v>--</v>
      </c>
      <c r="AX22" s="16" t="str">
        <v>--</v>
      </c>
      <c r="AY22" s="16" t="str">
        <v>--</v>
      </c>
      <c r="AZ22" s="17" t="str">
        <v>--</v>
      </c>
      <c r="BA22" s="52" t="str">
        <v>--</v>
      </c>
      <c r="BB22" s="53" t="str">
        <v>--</v>
      </c>
      <c r="BC22" s="20" t="str">
        <v>--</v>
      </c>
      <c r="BD22" s="16" t="str">
        <v>--</v>
      </c>
      <c r="BE22" s="16" t="str">
        <v>--</v>
      </c>
      <c r="BF22" s="16" t="str">
        <v>--</v>
      </c>
      <c r="BG22" s="16" t="str">
        <v>--</v>
      </c>
      <c r="BH22" s="16" t="str">
        <v>--</v>
      </c>
      <c r="BI22" s="16" t="str">
        <v>--</v>
      </c>
      <c r="BL22" s="62">
        <f t="shared" si="0"/>
        <v>0</v>
      </c>
      <c r="BM22" s="63" t="s">
        <v>16</v>
      </c>
      <c r="BN22" s="64"/>
      <c r="BO22" s="64"/>
      <c r="BP22" s="63">
        <f t="shared" si="1"/>
        <v>0</v>
      </c>
      <c r="BQ22" s="70" t="e">
        <f t="shared" si="2"/>
        <v>#DIV/0!</v>
      </c>
    </row>
    <row r="23" spans="2:69" ht="15" thickBot="1" x14ac:dyDescent="0.25">
      <c r="C23" s="38">
        <v>13</v>
      </c>
      <c r="D23" s="40" t="str">
        <v>--</v>
      </c>
      <c r="E23" s="40" t="str">
        <v>--</v>
      </c>
      <c r="F23" s="40" t="str">
        <v>--</v>
      </c>
      <c r="G23" s="40" t="str">
        <v>--</v>
      </c>
      <c r="H23" s="40" t="str">
        <v>--</v>
      </c>
      <c r="I23" s="40" t="str">
        <v>--</v>
      </c>
      <c r="J23" s="40" t="str">
        <v>--</v>
      </c>
      <c r="K23" s="40" t="str">
        <v>--</v>
      </c>
      <c r="L23" s="40" t="str">
        <v>--</v>
      </c>
      <c r="M23" s="40" t="str">
        <v>--</v>
      </c>
      <c r="N23" s="40" t="str">
        <v>--</v>
      </c>
      <c r="O23" s="40" t="str">
        <v>--</v>
      </c>
      <c r="P23" s="40" t="str">
        <v>--</v>
      </c>
      <c r="Q23" s="40" t="str">
        <v>--</v>
      </c>
      <c r="R23" s="40" t="str">
        <v>--</v>
      </c>
      <c r="S23" s="40" t="str">
        <v>--</v>
      </c>
      <c r="T23" s="40" t="str">
        <v>--</v>
      </c>
      <c r="U23" s="40" t="str">
        <v>--</v>
      </c>
      <c r="V23" s="40" t="str">
        <v>--</v>
      </c>
      <c r="W23" s="40" t="str">
        <v>--</v>
      </c>
      <c r="X23" s="40" t="str">
        <v>--</v>
      </c>
      <c r="Y23" s="40" t="str">
        <v>--</v>
      </c>
      <c r="Z23" s="40" t="str">
        <v>--</v>
      </c>
      <c r="AA23" s="40" t="str">
        <v>--</v>
      </c>
      <c r="AB23" s="40" t="str">
        <v>--</v>
      </c>
      <c r="AC23" s="40" t="str">
        <v>--</v>
      </c>
      <c r="AD23" s="40" t="str">
        <v>--</v>
      </c>
      <c r="AE23" s="40" t="str">
        <v>--</v>
      </c>
      <c r="AF23" s="40" t="str">
        <v>--</v>
      </c>
      <c r="AG23" s="40" t="str">
        <v>--</v>
      </c>
      <c r="AH23" s="40" t="str">
        <v>--</v>
      </c>
      <c r="AI23" s="40" t="str">
        <v>--</v>
      </c>
      <c r="AJ23" s="40" t="str">
        <v>--</v>
      </c>
      <c r="AK23" s="40" t="str">
        <v>--</v>
      </c>
      <c r="AL23" s="40" t="str">
        <v>--</v>
      </c>
      <c r="AM23" s="40" t="str">
        <v>--</v>
      </c>
      <c r="AN23" s="40" t="str">
        <v>--</v>
      </c>
      <c r="AO23" s="40" t="str">
        <v>--</v>
      </c>
      <c r="AP23" s="40" t="str">
        <v>--</v>
      </c>
      <c r="AQ23" s="40" t="str">
        <v>--</v>
      </c>
      <c r="AR23" s="40" t="str">
        <v>--</v>
      </c>
      <c r="AS23" s="40" t="str">
        <v>--</v>
      </c>
      <c r="AT23" s="40" t="str">
        <v>--</v>
      </c>
      <c r="AU23" s="40" t="str">
        <v>--</v>
      </c>
      <c r="AV23" s="40" t="str">
        <v>--</v>
      </c>
      <c r="AW23" s="40" t="str">
        <v>--</v>
      </c>
      <c r="AX23" s="40" t="str">
        <v>--</v>
      </c>
      <c r="AY23" s="40" t="str">
        <v>--</v>
      </c>
      <c r="AZ23" s="41" t="str">
        <v>--</v>
      </c>
      <c r="BA23" s="54" t="str">
        <v>--</v>
      </c>
      <c r="BB23" s="55" t="str">
        <v>--</v>
      </c>
      <c r="BC23" s="42" t="str">
        <v>--</v>
      </c>
      <c r="BD23" s="40" t="str">
        <v>--</v>
      </c>
      <c r="BE23" s="40" t="str">
        <v>--</v>
      </c>
      <c r="BF23" s="40" t="str">
        <v>--</v>
      </c>
      <c r="BG23" s="40" t="str">
        <v>--</v>
      </c>
      <c r="BH23" s="40" t="str">
        <v>--</v>
      </c>
      <c r="BI23" s="40" t="str">
        <v>--</v>
      </c>
      <c r="BL23" s="62">
        <f t="shared" si="0"/>
        <v>0</v>
      </c>
      <c r="BM23" s="63" t="s">
        <v>16</v>
      </c>
      <c r="BN23" s="64"/>
      <c r="BO23" s="64"/>
      <c r="BP23" s="63">
        <f t="shared" si="1"/>
        <v>0</v>
      </c>
      <c r="BQ23" s="70" t="e">
        <f t="shared" ref="BQ23:BQ32" si="3">BL23/BP23</f>
        <v>#DIV/0!</v>
      </c>
    </row>
    <row r="24" spans="2:69" ht="15.75" customHeight="1" x14ac:dyDescent="0.2">
      <c r="B24" s="71"/>
      <c r="C24" s="28">
        <v>12</v>
      </c>
      <c r="D24" s="37" t="str">
        <v>PROJ</v>
      </c>
      <c r="E24" s="37" t="str">
        <v>PROJ</v>
      </c>
      <c r="F24" s="37" t="str">
        <v>PROJ</v>
      </c>
      <c r="G24" s="37" t="str">
        <v>PROJ</v>
      </c>
      <c r="H24" s="37" t="str">
        <v>PROJ</v>
      </c>
      <c r="I24" s="73" t="str">
        <v>PROJ</v>
      </c>
      <c r="J24" s="37" t="str">
        <v>PROJ</v>
      </c>
      <c r="K24" s="37" t="str">
        <v>PROJ</v>
      </c>
      <c r="L24" s="37" t="str">
        <v>PROJ</v>
      </c>
      <c r="M24" s="37" t="str">
        <v>PROJ</v>
      </c>
      <c r="N24" s="37" t="str">
        <v>PROJ</v>
      </c>
      <c r="O24" s="37" t="str">
        <v>PROJ</v>
      </c>
      <c r="P24" s="37" t="str">
        <v>PROJ</v>
      </c>
      <c r="Q24" s="37" t="str">
        <v>PROJ</v>
      </c>
      <c r="R24" s="37" t="str">
        <v>PROJ</v>
      </c>
      <c r="S24" s="37" t="str">
        <v>PROJ</v>
      </c>
      <c r="T24" s="37" t="str">
        <v>PROJ</v>
      </c>
      <c r="U24" s="37" t="str">
        <v>PROJ</v>
      </c>
      <c r="V24" s="37" t="str">
        <v>PROJ</v>
      </c>
      <c r="W24" s="37" t="str">
        <v>PROJ</v>
      </c>
      <c r="X24" s="37" t="str">
        <v>PROJ</v>
      </c>
      <c r="Y24" s="37" t="str">
        <v>PROJ</v>
      </c>
      <c r="Z24" s="37" t="str">
        <v>PROJ</v>
      </c>
      <c r="AA24" s="37" t="str">
        <v>PROJ</v>
      </c>
      <c r="AB24" s="37" t="str">
        <v>PROJ</v>
      </c>
      <c r="AC24" s="37" t="str">
        <v>PROJ</v>
      </c>
      <c r="AD24" s="37" t="str">
        <v>PROJ</v>
      </c>
      <c r="AE24" s="37" t="str">
        <v>PROJ</v>
      </c>
      <c r="AF24" s="37" t="str">
        <v>PROJ</v>
      </c>
      <c r="AG24" s="37" t="str">
        <v>PROJ</v>
      </c>
      <c r="AH24" s="37" t="str">
        <v>PROJ</v>
      </c>
      <c r="AI24" s="37" t="str">
        <v>PROJ</v>
      </c>
      <c r="AJ24" s="37" t="str">
        <v>PROJ</v>
      </c>
      <c r="AK24" s="37" t="str">
        <v>PROJ</v>
      </c>
      <c r="AL24" s="37" t="str">
        <v>PROJ</v>
      </c>
      <c r="AM24" s="37" t="str">
        <v>PROJ</v>
      </c>
      <c r="AN24" s="37" t="str">
        <v>PROJ</v>
      </c>
      <c r="AO24" s="37" t="str">
        <v>PROJ</v>
      </c>
      <c r="AP24" s="37" t="str">
        <v>PROJ</v>
      </c>
      <c r="AQ24" s="37" t="str">
        <v>PROJ</v>
      </c>
      <c r="AR24" s="37" t="str">
        <v>PROJ</v>
      </c>
      <c r="AS24" s="37" t="str">
        <v>PROJ</v>
      </c>
      <c r="AT24" s="37" t="str">
        <v>PROJ</v>
      </c>
      <c r="AU24" s="37" t="str">
        <v>PROJ</v>
      </c>
      <c r="AV24" s="37" t="str">
        <v>PROJ</v>
      </c>
      <c r="AW24" s="37" t="str">
        <v>PROJ</v>
      </c>
      <c r="AX24" s="37" t="str">
        <v>PROJ</v>
      </c>
      <c r="AY24" s="37" t="e">
        <v>#N/A</v>
      </c>
      <c r="AZ24" s="43" t="e">
        <v>#N/A</v>
      </c>
      <c r="BA24" s="56" t="e">
        <v>#N/A</v>
      </c>
      <c r="BB24" s="57" t="e">
        <v>#N/A</v>
      </c>
      <c r="BC24" s="46" t="e">
        <v>#N/A</v>
      </c>
      <c r="BD24" s="37" t="e">
        <v>#N/A</v>
      </c>
      <c r="BE24" s="37" t="e">
        <v>#N/A</v>
      </c>
      <c r="BF24" s="37" t="e">
        <v>#N/A</v>
      </c>
      <c r="BG24" s="37" t="e">
        <v>#N/A</v>
      </c>
      <c r="BH24" s="37" t="e">
        <v>#N/A</v>
      </c>
      <c r="BI24" s="37" t="e">
        <v>#N/A</v>
      </c>
      <c r="BJ24" s="21"/>
      <c r="BL24" s="62">
        <f t="shared" si="0"/>
        <v>0</v>
      </c>
      <c r="BM24" s="63" t="s">
        <v>16</v>
      </c>
      <c r="BN24" s="64"/>
      <c r="BO24" s="64"/>
      <c r="BP24" s="63">
        <f t="shared" si="1"/>
        <v>58</v>
      </c>
      <c r="BQ24" s="65">
        <f t="shared" si="3"/>
        <v>0</v>
      </c>
    </row>
    <row r="25" spans="2:69" ht="15" thickBot="1" x14ac:dyDescent="0.25">
      <c r="B25" s="72"/>
      <c r="C25" s="38">
        <v>11</v>
      </c>
      <c r="D25" s="39" t="str">
        <v>PROJ</v>
      </c>
      <c r="E25" s="39" t="str">
        <v>PROJ</v>
      </c>
      <c r="F25" s="39" t="str">
        <v>PROJ</v>
      </c>
      <c r="G25" s="39" t="str">
        <v>PROJ</v>
      </c>
      <c r="H25" s="39" t="str">
        <v>PROJ</v>
      </c>
      <c r="I25" s="39" t="str">
        <v>PROJ</v>
      </c>
      <c r="J25" s="39" t="str">
        <v>PROJ</v>
      </c>
      <c r="K25" s="39" t="str">
        <v>PROJ</v>
      </c>
      <c r="L25" s="39" t="str">
        <v>PROJ</v>
      </c>
      <c r="M25" s="39" t="str">
        <v>PROJ</v>
      </c>
      <c r="N25" s="39" t="str">
        <v>PROJ</v>
      </c>
      <c r="O25" s="39" t="str">
        <v>PROJ</v>
      </c>
      <c r="P25" s="39" t="str">
        <v>PROJ</v>
      </c>
      <c r="Q25" s="39" t="str">
        <v>PROJ</v>
      </c>
      <c r="R25" s="39" t="str">
        <v>PROJ</v>
      </c>
      <c r="S25" s="39" t="str">
        <v>PROJ</v>
      </c>
      <c r="T25" s="39" t="str">
        <v>PROJ</v>
      </c>
      <c r="U25" s="39" t="str">
        <v>PROJ</v>
      </c>
      <c r="V25" s="39" t="str">
        <v>PROJ</v>
      </c>
      <c r="W25" s="39" t="str">
        <v>PROJ</v>
      </c>
      <c r="X25" s="39" t="str">
        <v>PROJ</v>
      </c>
      <c r="Y25" s="39" t="str">
        <v>PROJ</v>
      </c>
      <c r="Z25" s="39" t="str">
        <v>PROJ</v>
      </c>
      <c r="AA25" s="39" t="str">
        <v>PROJ</v>
      </c>
      <c r="AB25" s="39" t="str">
        <v>PROJ</v>
      </c>
      <c r="AC25" s="39" t="str">
        <v>PROJ</v>
      </c>
      <c r="AD25" s="39" t="str">
        <v>PROJ</v>
      </c>
      <c r="AE25" s="39" t="str">
        <v>PROJ</v>
      </c>
      <c r="AF25" s="39" t="str">
        <v>PROJ</v>
      </c>
      <c r="AG25" s="39" t="str">
        <v>PROJ</v>
      </c>
      <c r="AH25" s="39" t="str">
        <v>PROJ</v>
      </c>
      <c r="AI25" s="39" t="str">
        <v>PROJ</v>
      </c>
      <c r="AJ25" s="39" t="str">
        <v>PROJ</v>
      </c>
      <c r="AK25" s="39" t="str">
        <v>PROJ</v>
      </c>
      <c r="AL25" s="39" t="str">
        <v>PROJ</v>
      </c>
      <c r="AM25" s="39" t="str">
        <v>PROJ</v>
      </c>
      <c r="AN25" s="39" t="str">
        <v>PROJ</v>
      </c>
      <c r="AO25" s="39" t="str">
        <v>PROJ</v>
      </c>
      <c r="AP25" s="39" t="str">
        <v>PROJ</v>
      </c>
      <c r="AQ25" s="39" t="str">
        <v>PROJ</v>
      </c>
      <c r="AR25" s="39" t="str">
        <v>PROJ</v>
      </c>
      <c r="AS25" s="39" t="str">
        <v>PROJ</v>
      </c>
      <c r="AT25" s="39" t="str">
        <v>PROJ</v>
      </c>
      <c r="AU25" s="39" t="str">
        <v>PROJ</v>
      </c>
      <c r="AV25" s="39" t="str">
        <v>PROJ</v>
      </c>
      <c r="AW25" s="39" t="str">
        <v>PROJ</v>
      </c>
      <c r="AX25" s="39" t="str">
        <v>PROJ</v>
      </c>
      <c r="AY25" s="39" t="str">
        <v>PROJ</v>
      </c>
      <c r="AZ25" s="44" t="str">
        <v>PROJ</v>
      </c>
      <c r="BA25" s="58" t="e">
        <v>#N/A</v>
      </c>
      <c r="BB25" s="59" t="e">
        <v>#N/A</v>
      </c>
      <c r="BC25" s="47" t="str">
        <v>PROJ</v>
      </c>
      <c r="BD25" s="39" t="str">
        <v>PROJ</v>
      </c>
      <c r="BE25" s="39" t="str">
        <v>PROJ</v>
      </c>
      <c r="BF25" s="39" t="str">
        <v>PROJ</v>
      </c>
      <c r="BG25" s="39" t="str">
        <v>PROJ</v>
      </c>
      <c r="BH25" s="39" t="str">
        <v>PROJ</v>
      </c>
      <c r="BI25" s="39" t="str">
        <v>PROJ</v>
      </c>
      <c r="BL25" s="62">
        <f t="shared" si="0"/>
        <v>0</v>
      </c>
      <c r="BM25" s="63" t="s">
        <v>16</v>
      </c>
      <c r="BN25" s="64"/>
      <c r="BO25" s="64"/>
      <c r="BP25" s="63">
        <f t="shared" si="1"/>
        <v>58</v>
      </c>
      <c r="BQ25" s="65">
        <f t="shared" si="3"/>
        <v>0</v>
      </c>
    </row>
    <row r="26" spans="2:69" x14ac:dyDescent="0.2">
      <c r="B26" s="71"/>
      <c r="C26" s="28">
        <v>10</v>
      </c>
      <c r="D26" s="37" t="str">
        <v>PROJ</v>
      </c>
      <c r="E26" s="37" t="str">
        <v>PROJ</v>
      </c>
      <c r="F26" s="37" t="str">
        <v>PROJ</v>
      </c>
      <c r="G26" s="37" t="str">
        <v>PROJ</v>
      </c>
      <c r="H26" s="37" t="str">
        <v>PROJ</v>
      </c>
      <c r="I26" s="37" t="str">
        <v>PROJ</v>
      </c>
      <c r="J26" s="37" t="str">
        <v>PROJ</v>
      </c>
      <c r="K26" s="37" t="str">
        <v>PROJ</v>
      </c>
      <c r="L26" s="37" t="str">
        <v>PROJ</v>
      </c>
      <c r="M26" s="37" t="str">
        <v>PROJ</v>
      </c>
      <c r="N26" s="37" t="str">
        <v>PROJ</v>
      </c>
      <c r="O26" s="37" t="str">
        <v>PROJ</v>
      </c>
      <c r="P26" s="37" t="str">
        <v>PROJ</v>
      </c>
      <c r="Q26" s="37" t="str">
        <v>PROJ</v>
      </c>
      <c r="R26" s="37" t="str">
        <v>PROJ</v>
      </c>
      <c r="S26" s="37" t="str">
        <v>PROJ</v>
      </c>
      <c r="T26" s="37" t="str">
        <v>PROJ</v>
      </c>
      <c r="U26" s="37" t="str">
        <v>PROJ</v>
      </c>
      <c r="V26" s="37" t="str">
        <v>PROJ</v>
      </c>
      <c r="W26" s="37" t="str">
        <v>PROJ</v>
      </c>
      <c r="X26" s="37" t="str">
        <v>PROJ</v>
      </c>
      <c r="Y26" s="37" t="str">
        <v>PROJ</v>
      </c>
      <c r="Z26" s="37" t="str">
        <v>PROJ</v>
      </c>
      <c r="AA26" s="37" t="str">
        <v>PROJ</v>
      </c>
      <c r="AB26" s="37" t="str">
        <v>PROJ</v>
      </c>
      <c r="AC26" s="37" t="str">
        <v>PROJ</v>
      </c>
      <c r="AD26" s="37" t="str">
        <v>PROJ</v>
      </c>
      <c r="AE26" s="37" t="str">
        <v>PROJ</v>
      </c>
      <c r="AF26" s="37" t="str">
        <v>PROJ</v>
      </c>
      <c r="AG26" s="37" t="str">
        <v>PROJ</v>
      </c>
      <c r="AH26" s="37" t="str">
        <v>PROJ</v>
      </c>
      <c r="AI26" s="37" t="str">
        <v>PROJ</v>
      </c>
      <c r="AJ26" s="37" t="str">
        <v>PROJ</v>
      </c>
      <c r="AK26" s="37" t="str">
        <v>PROJ</v>
      </c>
      <c r="AL26" s="37" t="str">
        <v>PROJ</v>
      </c>
      <c r="AM26" s="37" t="str">
        <v>PROJ</v>
      </c>
      <c r="AN26" s="37" t="str">
        <v>PROJ</v>
      </c>
      <c r="AO26" s="37" t="str">
        <v>PROJ</v>
      </c>
      <c r="AP26" s="37" t="str">
        <v>PROJ</v>
      </c>
      <c r="AQ26" s="37" t="str">
        <v>PROJ</v>
      </c>
      <c r="AR26" s="37" t="str">
        <v>PROJ</v>
      </c>
      <c r="AS26" s="37" t="str">
        <v>PROJ</v>
      </c>
      <c r="AT26" s="37" t="str">
        <v>PROJ</v>
      </c>
      <c r="AU26" s="37" t="str">
        <v>PROJ</v>
      </c>
      <c r="AV26" s="37" t="str">
        <v>PROJ</v>
      </c>
      <c r="AW26" s="37" t="str">
        <v>PROJ</v>
      </c>
      <c r="AX26" s="37" t="str">
        <v>PROJ</v>
      </c>
      <c r="AY26" s="37" t="str">
        <v>PROJ</v>
      </c>
      <c r="AZ26" s="43" t="str">
        <v>PROJ</v>
      </c>
      <c r="BA26" s="56" t="str">
        <v>PROJ</v>
      </c>
      <c r="BB26" s="57" t="str">
        <v>PROJ</v>
      </c>
      <c r="BC26" s="46" t="str">
        <v>PROJ</v>
      </c>
      <c r="BD26" s="37" t="str">
        <v>PROJ</v>
      </c>
      <c r="BE26" s="37" t="str">
        <v>PROJ</v>
      </c>
      <c r="BF26" s="37" t="str">
        <v>PROJ</v>
      </c>
      <c r="BG26" s="37" t="str">
        <v>PROJ</v>
      </c>
      <c r="BH26" s="37" t="str">
        <v>PROJ</v>
      </c>
      <c r="BI26" s="37" t="str">
        <v>PROJ</v>
      </c>
      <c r="BJ26" s="21"/>
      <c r="BL26" s="62">
        <f t="shared" si="0"/>
        <v>0</v>
      </c>
      <c r="BM26" s="63" t="s">
        <v>16</v>
      </c>
      <c r="BN26" s="64"/>
      <c r="BO26" s="64"/>
      <c r="BP26" s="63">
        <f t="shared" si="1"/>
        <v>58</v>
      </c>
      <c r="BQ26" s="65">
        <f t="shared" si="3"/>
        <v>0</v>
      </c>
    </row>
    <row r="27" spans="2:69" x14ac:dyDescent="0.2">
      <c r="C27" s="15">
        <v>9</v>
      </c>
      <c r="D27" s="34" t="str">
        <v>PROJ</v>
      </c>
      <c r="E27" s="34" t="str">
        <v>PROJ</v>
      </c>
      <c r="F27" s="34" t="str">
        <v>PROJ</v>
      </c>
      <c r="G27" s="34" t="str">
        <v>PROJ</v>
      </c>
      <c r="H27" s="34" t="str">
        <v>PROJ</v>
      </c>
      <c r="I27" s="34" t="str">
        <v>PROJ</v>
      </c>
      <c r="J27" s="34" t="str">
        <v>PROJ</v>
      </c>
      <c r="K27" s="34" t="str">
        <v>PROJ</v>
      </c>
      <c r="L27" s="34" t="str">
        <v>PROJ</v>
      </c>
      <c r="M27" s="34" t="str">
        <v>PROJ</v>
      </c>
      <c r="N27" s="34" t="str">
        <v>PROJ</v>
      </c>
      <c r="O27" s="34" t="str">
        <v>PROJ</v>
      </c>
      <c r="P27" s="34" t="str">
        <v>PROJ</v>
      </c>
      <c r="Q27" s="34" t="str">
        <v>PROJ</v>
      </c>
      <c r="R27" s="34" t="str">
        <v>PROJ</v>
      </c>
      <c r="S27" s="34" t="str">
        <v>PROJ</v>
      </c>
      <c r="T27" s="34" t="str">
        <v>PROJ</v>
      </c>
      <c r="U27" s="34" t="str">
        <v>PROJ</v>
      </c>
      <c r="V27" s="34" t="str">
        <v>PROJ</v>
      </c>
      <c r="W27" s="34" t="str">
        <v>PROJ</v>
      </c>
      <c r="X27" s="34" t="str">
        <v>PROJ</v>
      </c>
      <c r="Y27" s="34" t="str">
        <v>PROJ</v>
      </c>
      <c r="Z27" s="34" t="str">
        <v>PROJ</v>
      </c>
      <c r="AA27" s="34" t="str">
        <v>PROJ</v>
      </c>
      <c r="AB27" s="34" t="str">
        <v>PROJ</v>
      </c>
      <c r="AC27" s="34" t="str">
        <v>PROJ</v>
      </c>
      <c r="AD27" s="34" t="str">
        <v>PROJ</v>
      </c>
      <c r="AE27" s="34" t="str">
        <v>PROJ</v>
      </c>
      <c r="AF27" s="34" t="str">
        <v>PROJ</v>
      </c>
      <c r="AG27" s="34" t="str">
        <v>PROJ</v>
      </c>
      <c r="AH27" s="34" t="str">
        <v>PROJ</v>
      </c>
      <c r="AI27" s="34" t="str">
        <v>PROJ</v>
      </c>
      <c r="AJ27" s="34" t="str">
        <v>PROJ</v>
      </c>
      <c r="AK27" s="34" t="str">
        <v>PROJ</v>
      </c>
      <c r="AL27" s="34" t="str">
        <v>PROJ</v>
      </c>
      <c r="AM27" s="34" t="str">
        <v>PROJ</v>
      </c>
      <c r="AN27" s="34" t="str">
        <v>PROJ</v>
      </c>
      <c r="AO27" s="34" t="str">
        <v>PROJ</v>
      </c>
      <c r="AP27" s="34" t="str">
        <v>PROJ</v>
      </c>
      <c r="AQ27" s="34" t="str">
        <v>PROJ</v>
      </c>
      <c r="AR27" s="34" t="str">
        <v>PROJ</v>
      </c>
      <c r="AS27" s="34" t="str">
        <v>PROJ</v>
      </c>
      <c r="AT27" s="34" t="str">
        <v>PROJ</v>
      </c>
      <c r="AU27" s="34" t="str">
        <v>PROJ</v>
      </c>
      <c r="AV27" s="34" t="str">
        <v>PROJ</v>
      </c>
      <c r="AW27" s="34" t="str">
        <v>PROJ</v>
      </c>
      <c r="AX27" s="34" t="str">
        <v>PROJ</v>
      </c>
      <c r="AY27" s="34" t="str">
        <v>PROJ</v>
      </c>
      <c r="AZ27" s="45" t="str">
        <v>PROJ</v>
      </c>
      <c r="BA27" s="60" t="str">
        <v>PROJ</v>
      </c>
      <c r="BB27" s="61" t="str">
        <v>PROJ</v>
      </c>
      <c r="BC27" s="36" t="str">
        <v>PROJ</v>
      </c>
      <c r="BD27" s="34" t="str">
        <v>PROJ</v>
      </c>
      <c r="BE27" s="34" t="str">
        <v>PROJ</v>
      </c>
      <c r="BF27" s="34" t="str">
        <v>PROJ</v>
      </c>
      <c r="BG27" s="34" t="str">
        <v>PROJ</v>
      </c>
      <c r="BH27" s="34" t="str">
        <v>PROJ</v>
      </c>
      <c r="BI27" s="34" t="str">
        <v>PROJ</v>
      </c>
      <c r="BL27" s="62">
        <f t="shared" si="0"/>
        <v>0</v>
      </c>
      <c r="BM27" s="63" t="s">
        <v>16</v>
      </c>
      <c r="BN27" s="64"/>
      <c r="BO27" s="64"/>
      <c r="BP27" s="63">
        <f t="shared" si="1"/>
        <v>58</v>
      </c>
      <c r="BQ27" s="65">
        <f t="shared" si="3"/>
        <v>0</v>
      </c>
    </row>
    <row r="28" spans="2:69" x14ac:dyDescent="0.2">
      <c r="C28" s="15">
        <v>8</v>
      </c>
      <c r="D28" s="34" t="str">
        <v>PROJ</v>
      </c>
      <c r="E28" s="34" t="str">
        <v>PROJ</v>
      </c>
      <c r="F28" s="34" t="str">
        <v>PROJ</v>
      </c>
      <c r="G28" s="34" t="str">
        <v>PROJ</v>
      </c>
      <c r="H28" s="34" t="str">
        <v>PROJ</v>
      </c>
      <c r="I28" s="34" t="str">
        <v>PROJ</v>
      </c>
      <c r="J28" s="34" t="str">
        <v>PROJ</v>
      </c>
      <c r="K28" s="34" t="str">
        <v>PROJ</v>
      </c>
      <c r="L28" s="34" t="str">
        <v>PROJ</v>
      </c>
      <c r="M28" s="34" t="str">
        <v>PROJ</v>
      </c>
      <c r="N28" s="34" t="str">
        <v>PROJ</v>
      </c>
      <c r="O28" s="34" t="str">
        <v>PROJ</v>
      </c>
      <c r="P28" s="34" t="str">
        <v>PROJ</v>
      </c>
      <c r="Q28" s="34" t="str">
        <v>PROJ</v>
      </c>
      <c r="R28" s="34" t="str">
        <v>PROJ</v>
      </c>
      <c r="S28" s="34" t="str">
        <v>PROJ</v>
      </c>
      <c r="T28" s="34" t="str">
        <v>PROJ</v>
      </c>
      <c r="U28" s="34" t="str">
        <v>PROJ</v>
      </c>
      <c r="V28" s="34" t="str">
        <v>PROJ</v>
      </c>
      <c r="W28" s="34" t="str">
        <v>PROJ</v>
      </c>
      <c r="X28" s="34" t="str">
        <v>PROJ</v>
      </c>
      <c r="Y28" s="34" t="str">
        <v>PROJ</v>
      </c>
      <c r="Z28" s="34" t="str">
        <v>PROJ</v>
      </c>
      <c r="AA28" s="34" t="str">
        <v>PROJ</v>
      </c>
      <c r="AB28" s="34" t="str">
        <v>PROJ</v>
      </c>
      <c r="AC28" s="34" t="str">
        <v>PROJ</v>
      </c>
      <c r="AD28" s="34" t="str">
        <v>PROJ</v>
      </c>
      <c r="AE28" s="34" t="str">
        <v>PROJ</v>
      </c>
      <c r="AF28" s="34" t="str">
        <v>PROJ</v>
      </c>
      <c r="AG28" s="34" t="str">
        <v>PROJ</v>
      </c>
      <c r="AH28" s="34" t="str">
        <v>PROJ</v>
      </c>
      <c r="AI28" s="34" t="str">
        <v>PROJ</v>
      </c>
      <c r="AJ28" s="34" t="str">
        <v>PROJ</v>
      </c>
      <c r="AK28" s="34" t="str">
        <v>PROJ</v>
      </c>
      <c r="AL28" s="34" t="str">
        <v>PROJ</v>
      </c>
      <c r="AM28" s="34" t="str">
        <v>PROJ</v>
      </c>
      <c r="AN28" s="34" t="str">
        <v>PROJ</v>
      </c>
      <c r="AO28" s="34" t="str">
        <v>PROJ</v>
      </c>
      <c r="AP28" s="34" t="str">
        <v>PROJ</v>
      </c>
      <c r="AQ28" s="34" t="str">
        <v>PROJ</v>
      </c>
      <c r="AR28" s="34" t="str">
        <v>PROJ</v>
      </c>
      <c r="AS28" s="34" t="str">
        <v>PROJ</v>
      </c>
      <c r="AT28" s="34" t="str">
        <v>PROJ</v>
      </c>
      <c r="AU28" s="34" t="str">
        <v>PROJ</v>
      </c>
      <c r="AV28" s="34" t="str">
        <v>PROJ</v>
      </c>
      <c r="AW28" s="34" t="str">
        <v>PROJ</v>
      </c>
      <c r="AX28" s="34" t="str">
        <v>PROJ</v>
      </c>
      <c r="AY28" s="34" t="str">
        <v>PROJ</v>
      </c>
      <c r="AZ28" s="45" t="str">
        <v>PROJ</v>
      </c>
      <c r="BA28" s="60" t="str">
        <v>PROJ</v>
      </c>
      <c r="BB28" s="61" t="str">
        <v>PROJ</v>
      </c>
      <c r="BC28" s="36" t="str">
        <v>PROJ</v>
      </c>
      <c r="BD28" s="34" t="str">
        <v>PROJ</v>
      </c>
      <c r="BE28" s="34" t="str">
        <v>PROJ</v>
      </c>
      <c r="BF28" s="34" t="str">
        <v>PROJ</v>
      </c>
      <c r="BG28" s="34" t="str">
        <v>PROJ</v>
      </c>
      <c r="BH28" s="34" t="str">
        <v>PROJ</v>
      </c>
      <c r="BI28" s="34" t="str">
        <v>PROJ</v>
      </c>
      <c r="BL28" s="62">
        <f t="shared" si="0"/>
        <v>0</v>
      </c>
      <c r="BM28" s="63" t="s">
        <v>16</v>
      </c>
      <c r="BN28" s="64"/>
      <c r="BO28" s="64"/>
      <c r="BP28" s="63">
        <f t="shared" si="1"/>
        <v>58</v>
      </c>
      <c r="BQ28" s="65">
        <f t="shared" si="3"/>
        <v>0</v>
      </c>
    </row>
    <row r="29" spans="2:69" x14ac:dyDescent="0.2">
      <c r="C29" s="15">
        <v>7</v>
      </c>
      <c r="D29" s="34" t="str">
        <v>PROJ</v>
      </c>
      <c r="E29" s="34" t="str">
        <v>PROJ</v>
      </c>
      <c r="F29" s="34" t="str">
        <v>PROJ</v>
      </c>
      <c r="G29" s="34" t="str">
        <v>PROJ</v>
      </c>
      <c r="H29" s="34" t="str">
        <v>PROJ</v>
      </c>
      <c r="I29" s="34" t="str">
        <v>PROJ</v>
      </c>
      <c r="J29" s="34" t="str">
        <v>PROJ</v>
      </c>
      <c r="K29" s="34" t="str">
        <v>PROJ</v>
      </c>
      <c r="L29" s="34" t="str">
        <v>PROJ</v>
      </c>
      <c r="M29" s="34" t="str">
        <v>PROJ</v>
      </c>
      <c r="N29" s="34" t="str">
        <v>PROJ</v>
      </c>
      <c r="O29" s="34" t="str">
        <v>PROJ</v>
      </c>
      <c r="P29" s="34" t="str">
        <v>PROJ</v>
      </c>
      <c r="Q29" s="34" t="str">
        <v>PROJ</v>
      </c>
      <c r="R29" s="34" t="str">
        <v>PROJ</v>
      </c>
      <c r="S29" s="34" t="str">
        <v>PROJ</v>
      </c>
      <c r="T29" s="34" t="str">
        <v>PROJ</v>
      </c>
      <c r="U29" s="34" t="str">
        <v>PROJ</v>
      </c>
      <c r="V29" s="34" t="str">
        <v>PROJ</v>
      </c>
      <c r="W29" s="34" t="str">
        <v>PROJ</v>
      </c>
      <c r="X29" s="34" t="str">
        <v>PROJ</v>
      </c>
      <c r="Y29" s="34" t="str">
        <v>PROJ</v>
      </c>
      <c r="Z29" s="34" t="str">
        <v>PROJ</v>
      </c>
      <c r="AA29" s="34" t="str">
        <v>PROJ</v>
      </c>
      <c r="AB29" s="34" t="str">
        <v>PROJ</v>
      </c>
      <c r="AC29" s="34" t="str">
        <v>PROJ</v>
      </c>
      <c r="AD29" s="34" t="str">
        <v>PROJ</v>
      </c>
      <c r="AE29" s="34" t="str">
        <v>PROJ</v>
      </c>
      <c r="AF29" s="34" t="str">
        <v>PROJ</v>
      </c>
      <c r="AG29" s="34" t="str">
        <v>PROJ</v>
      </c>
      <c r="AH29" s="34" t="str">
        <v>PROJ</v>
      </c>
      <c r="AI29" s="34" t="str">
        <v>PROJ</v>
      </c>
      <c r="AJ29" s="34" t="str">
        <v>PROJ</v>
      </c>
      <c r="AK29" s="34" t="str">
        <v>PROJ</v>
      </c>
      <c r="AL29" s="34" t="str">
        <v>PROJ</v>
      </c>
      <c r="AM29" s="34" t="str">
        <v>PROJ</v>
      </c>
      <c r="AN29" s="34" t="str">
        <v>PROJ</v>
      </c>
      <c r="AO29" s="34" t="str">
        <v>PROJ</v>
      </c>
      <c r="AP29" s="34" t="str">
        <v>PROJ</v>
      </c>
      <c r="AQ29" s="34" t="str">
        <v>PROJ</v>
      </c>
      <c r="AR29" s="34" t="str">
        <v>PROJ</v>
      </c>
      <c r="AS29" s="34" t="str">
        <v>PROJ</v>
      </c>
      <c r="AT29" s="34" t="str">
        <v>PROJ</v>
      </c>
      <c r="AU29" s="34" t="str">
        <v>PROJ</v>
      </c>
      <c r="AV29" s="34" t="str">
        <v>PROJ</v>
      </c>
      <c r="AW29" s="34" t="str">
        <v>PROJ</v>
      </c>
      <c r="AX29" s="34" t="str">
        <v>PROJ</v>
      </c>
      <c r="AY29" s="34" t="str">
        <v>PROJ</v>
      </c>
      <c r="AZ29" s="45" t="str">
        <v>PROJ</v>
      </c>
      <c r="BA29" s="60" t="str">
        <v>PROJ</v>
      </c>
      <c r="BB29" s="61" t="str">
        <v>PROJ</v>
      </c>
      <c r="BC29" s="36" t="str">
        <v>PROJ</v>
      </c>
      <c r="BD29" s="34" t="str">
        <v>PROJ</v>
      </c>
      <c r="BE29" s="34" t="str">
        <v>PROJ</v>
      </c>
      <c r="BF29" s="34" t="str">
        <v>PROJ</v>
      </c>
      <c r="BG29" s="34" t="str">
        <v>PROJ</v>
      </c>
      <c r="BH29" s="34" t="str">
        <v>PROJ</v>
      </c>
      <c r="BI29" s="34" t="str">
        <v>PROJ</v>
      </c>
      <c r="BL29" s="62">
        <f t="shared" si="0"/>
        <v>0</v>
      </c>
      <c r="BM29" s="63" t="s">
        <v>16</v>
      </c>
      <c r="BN29" s="64"/>
      <c r="BO29" s="64"/>
      <c r="BP29" s="63">
        <f t="shared" si="1"/>
        <v>58</v>
      </c>
      <c r="BQ29" s="65">
        <f t="shared" si="3"/>
        <v>0</v>
      </c>
    </row>
    <row r="30" spans="2:69" x14ac:dyDescent="0.2">
      <c r="C30" s="15">
        <v>6</v>
      </c>
      <c r="D30" s="34" t="str">
        <v>PROJ</v>
      </c>
      <c r="E30" s="34" t="str">
        <v>PROJ</v>
      </c>
      <c r="F30" s="34" t="str">
        <v>PROJ</v>
      </c>
      <c r="G30" s="34" t="str">
        <v>PROJ</v>
      </c>
      <c r="H30" s="34" t="str">
        <v>PROJ</v>
      </c>
      <c r="I30" s="34" t="str">
        <v>PROJ</v>
      </c>
      <c r="J30" s="34" t="str">
        <v>PROJ</v>
      </c>
      <c r="K30" s="34" t="str">
        <v>PROJ</v>
      </c>
      <c r="L30" s="34" t="str">
        <v>PROJ</v>
      </c>
      <c r="M30" s="34" t="str">
        <v>PROJ</v>
      </c>
      <c r="N30" s="34" t="str">
        <v>PROJ</v>
      </c>
      <c r="O30" s="34" t="str">
        <v>PROJ</v>
      </c>
      <c r="P30" s="34" t="str">
        <v>PROJ</v>
      </c>
      <c r="Q30" s="34" t="str">
        <v>PROJ</v>
      </c>
      <c r="R30" s="34" t="str">
        <v>PROJ</v>
      </c>
      <c r="S30" s="34" t="str">
        <v>PROJ</v>
      </c>
      <c r="T30" s="34" t="str">
        <v>PROJ</v>
      </c>
      <c r="U30" s="34" t="str">
        <v>PROJ</v>
      </c>
      <c r="V30" s="34" t="str">
        <v>PROJ</v>
      </c>
      <c r="W30" s="34" t="str">
        <v>PROJ</v>
      </c>
      <c r="X30" s="34" t="str">
        <v>PROJ</v>
      </c>
      <c r="Y30" s="34" t="str">
        <v>PROJ</v>
      </c>
      <c r="Z30" s="34" t="str">
        <v>PROJ</v>
      </c>
      <c r="AA30" s="34" t="str">
        <v>PROJ</v>
      </c>
      <c r="AB30" s="34" t="str">
        <v>PROJ</v>
      </c>
      <c r="AC30" s="34" t="str">
        <v>PROJ</v>
      </c>
      <c r="AD30" s="34" t="str">
        <v>PROJ</v>
      </c>
      <c r="AE30" s="34" t="str">
        <v>PROJ</v>
      </c>
      <c r="AF30" s="34" t="str">
        <v>PROJ</v>
      </c>
      <c r="AG30" s="34" t="str">
        <v>PROJ</v>
      </c>
      <c r="AH30" s="34" t="str">
        <v>PROJ</v>
      </c>
      <c r="AI30" s="34" t="str">
        <v>PROJ</v>
      </c>
      <c r="AJ30" s="34" t="str">
        <v>PROJ</v>
      </c>
      <c r="AK30" s="34" t="str">
        <v>PROJ</v>
      </c>
      <c r="AL30" s="34" t="str">
        <v>PROJ</v>
      </c>
      <c r="AM30" s="34" t="str">
        <v>PROJ</v>
      </c>
      <c r="AN30" s="34" t="str">
        <v>PROJ</v>
      </c>
      <c r="AO30" s="34" t="str">
        <v>PROJ</v>
      </c>
      <c r="AP30" s="34" t="str">
        <v>PROJ</v>
      </c>
      <c r="AQ30" s="34" t="str">
        <v>PROJ</v>
      </c>
      <c r="AR30" s="34" t="str">
        <v>PROJ</v>
      </c>
      <c r="AS30" s="34" t="str">
        <v>PROJ</v>
      </c>
      <c r="AT30" s="34" t="str">
        <v>PROJ</v>
      </c>
      <c r="AU30" s="34" t="str">
        <v>PROJ</v>
      </c>
      <c r="AV30" s="34" t="str">
        <v>PROJ</v>
      </c>
      <c r="AW30" s="34" t="str">
        <v>PROJ</v>
      </c>
      <c r="AX30" s="34" t="str">
        <v>PROJ</v>
      </c>
      <c r="AY30" s="34" t="str">
        <v>PROJ</v>
      </c>
      <c r="AZ30" s="45" t="str">
        <v>PROJ</v>
      </c>
      <c r="BA30" s="60" t="str">
        <v>PROJ</v>
      </c>
      <c r="BB30" s="61" t="str">
        <v>PROJ</v>
      </c>
      <c r="BC30" s="36" t="str">
        <v>PROJ</v>
      </c>
      <c r="BD30" s="34" t="str">
        <v>PROJ</v>
      </c>
      <c r="BE30" s="34" t="str">
        <v>PROJ</v>
      </c>
      <c r="BF30" s="34" t="str">
        <v>PROJ</v>
      </c>
      <c r="BG30" s="34" t="str">
        <v>PROJ</v>
      </c>
      <c r="BH30" s="34" t="str">
        <v>PROJ</v>
      </c>
      <c r="BI30" s="34" t="str">
        <v>PROJ</v>
      </c>
      <c r="BL30" s="62">
        <f t="shared" si="0"/>
        <v>0</v>
      </c>
      <c r="BM30" s="63" t="s">
        <v>16</v>
      </c>
      <c r="BN30" s="64"/>
      <c r="BO30" s="64"/>
      <c r="BP30" s="63">
        <f t="shared" si="1"/>
        <v>58</v>
      </c>
      <c r="BQ30" s="65">
        <f t="shared" si="3"/>
        <v>0</v>
      </c>
    </row>
    <row r="31" spans="2:69" x14ac:dyDescent="0.2">
      <c r="C31" s="15">
        <v>5</v>
      </c>
      <c r="D31" s="34" t="str">
        <v>PROJ</v>
      </c>
      <c r="E31" s="34" t="str">
        <v>PROJ</v>
      </c>
      <c r="F31" s="34" t="str">
        <v>PROJ</v>
      </c>
      <c r="G31" s="34" t="str">
        <v>PROJ</v>
      </c>
      <c r="H31" s="34" t="str">
        <v>PROJ</v>
      </c>
      <c r="I31" s="34" t="str">
        <v>PROJ</v>
      </c>
      <c r="J31" s="34" t="str">
        <v>PROJ</v>
      </c>
      <c r="K31" s="34" t="str">
        <v>PROJ</v>
      </c>
      <c r="L31" s="34" t="str">
        <v>PROJ</v>
      </c>
      <c r="M31" s="34" t="str">
        <v>PROJ</v>
      </c>
      <c r="N31" s="34" t="str">
        <v>PROJ</v>
      </c>
      <c r="O31" s="34" t="str">
        <v>PROJ</v>
      </c>
      <c r="P31" s="34" t="str">
        <v>PROJ</v>
      </c>
      <c r="Q31" s="34" t="str">
        <v>PROJ</v>
      </c>
      <c r="R31" s="34" t="str">
        <v>PROJ</v>
      </c>
      <c r="S31" s="34" t="str">
        <v>PROJ</v>
      </c>
      <c r="T31" s="34" t="str">
        <v>PROJ</v>
      </c>
      <c r="U31" s="34" t="str">
        <v>PROJ</v>
      </c>
      <c r="V31" s="34" t="str">
        <v>PROJ</v>
      </c>
      <c r="W31" s="34" t="str">
        <v>PROJ</v>
      </c>
      <c r="X31" s="34" t="str">
        <v>PROJ</v>
      </c>
      <c r="Y31" s="34" t="str">
        <v>PROJ</v>
      </c>
      <c r="Z31" s="34" t="str">
        <v>PROJ</v>
      </c>
      <c r="AA31" s="34" t="str">
        <v>PROJ</v>
      </c>
      <c r="AB31" s="34" t="str">
        <v>PROJ</v>
      </c>
      <c r="AC31" s="34" t="str">
        <v>PROJ</v>
      </c>
      <c r="AD31" s="34" t="str">
        <v>PROJ</v>
      </c>
      <c r="AE31" s="34" t="str">
        <v>PROJ</v>
      </c>
      <c r="AF31" s="34" t="str">
        <v>PROJ</v>
      </c>
      <c r="AG31" s="34" t="str">
        <v>PROJ</v>
      </c>
      <c r="AH31" s="34" t="str">
        <v>PROJ</v>
      </c>
      <c r="AI31" s="34" t="str">
        <v>PROJ</v>
      </c>
      <c r="AJ31" s="34" t="str">
        <v>PROJ</v>
      </c>
      <c r="AK31" s="34" t="str">
        <v>PROJ</v>
      </c>
      <c r="AL31" s="34" t="str">
        <v>PROJ</v>
      </c>
      <c r="AM31" s="34" t="str">
        <v>PROJ</v>
      </c>
      <c r="AN31" s="34" t="str">
        <v>PROJ</v>
      </c>
      <c r="AO31" s="34" t="str">
        <v>PROJ</v>
      </c>
      <c r="AP31" s="34" t="str">
        <v>PROJ</v>
      </c>
      <c r="AQ31" s="34" t="str">
        <v>PROJ</v>
      </c>
      <c r="AR31" s="34" t="str">
        <v>PROJ</v>
      </c>
      <c r="AS31" s="34" t="str">
        <v>PROJ</v>
      </c>
      <c r="AT31" s="34" t="str">
        <v>PROJ</v>
      </c>
      <c r="AU31" s="34" t="str">
        <v>PROJ</v>
      </c>
      <c r="AV31" s="34" t="str">
        <v>PROJ</v>
      </c>
      <c r="AW31" s="34" t="str">
        <v>PROJ</v>
      </c>
      <c r="AX31" s="34" t="str">
        <v>PROJ</v>
      </c>
      <c r="AY31" s="34" t="str">
        <v>PROJ</v>
      </c>
      <c r="AZ31" s="45" t="str">
        <v>PROJ</v>
      </c>
      <c r="BA31" s="60" t="str">
        <v>PROJ</v>
      </c>
      <c r="BB31" s="61" t="str">
        <v>PROJ</v>
      </c>
      <c r="BC31" s="36" t="str">
        <v>PROJ</v>
      </c>
      <c r="BD31" s="34" t="str">
        <v>PROJ</v>
      </c>
      <c r="BE31" s="34" t="str">
        <v>PROJ</v>
      </c>
      <c r="BF31" s="34" t="str">
        <v>PROJ</v>
      </c>
      <c r="BG31" s="34" t="str">
        <v>PROJ</v>
      </c>
      <c r="BH31" s="34" t="str">
        <v>PROJ</v>
      </c>
      <c r="BI31" s="34" t="str">
        <v>PROJ</v>
      </c>
      <c r="BL31" s="62">
        <f t="shared" si="0"/>
        <v>0</v>
      </c>
      <c r="BM31" s="63" t="s">
        <v>16</v>
      </c>
      <c r="BN31" s="64"/>
      <c r="BO31" s="64"/>
      <c r="BP31" s="63">
        <f t="shared" si="1"/>
        <v>58</v>
      </c>
      <c r="BQ31" s="65">
        <f t="shared" si="3"/>
        <v>0</v>
      </c>
    </row>
    <row r="32" spans="2:69" x14ac:dyDescent="0.2">
      <c r="C32" s="15">
        <v>4</v>
      </c>
      <c r="D32" s="34" t="str">
        <v>PROJ</v>
      </c>
      <c r="E32" s="34" t="str">
        <v>PROJ</v>
      </c>
      <c r="F32" s="34" t="str">
        <v>PROJ</v>
      </c>
      <c r="G32" s="34" t="str">
        <v>PROJ</v>
      </c>
      <c r="H32" s="34" t="str">
        <v>PROJ</v>
      </c>
      <c r="I32" s="34" t="str">
        <v>PROJ</v>
      </c>
      <c r="J32" s="34" t="str">
        <v>PROJ</v>
      </c>
      <c r="K32" s="34" t="str">
        <v>PROJ</v>
      </c>
      <c r="L32" s="34" t="str">
        <v>PROJ</v>
      </c>
      <c r="M32" s="34" t="str">
        <v>PROJ</v>
      </c>
      <c r="N32" s="34" t="str">
        <v>PROJ</v>
      </c>
      <c r="O32" s="34" t="str">
        <v>PROJ</v>
      </c>
      <c r="P32" s="34" t="str">
        <v>PROJ</v>
      </c>
      <c r="Q32" s="34" t="str">
        <v>PROJ</v>
      </c>
      <c r="R32" s="34" t="str">
        <v>PROJ</v>
      </c>
      <c r="S32" s="34" t="str">
        <v>PROJ</v>
      </c>
      <c r="T32" s="34" t="str">
        <v>PROJ</v>
      </c>
      <c r="U32" s="34" t="str">
        <v>PROJ</v>
      </c>
      <c r="V32" s="34" t="str">
        <v>PROJ</v>
      </c>
      <c r="W32" s="34" t="str">
        <v>PROJ</v>
      </c>
      <c r="X32" s="34" t="str">
        <v>PROJ</v>
      </c>
      <c r="Y32" s="34" t="str">
        <v>PROJ</v>
      </c>
      <c r="Z32" s="34" t="str">
        <v>PROJ</v>
      </c>
      <c r="AA32" s="34" t="str">
        <v>PROJ</v>
      </c>
      <c r="AB32" s="34" t="str">
        <v>PROJ</v>
      </c>
      <c r="AC32" s="34" t="str">
        <v>PROJ</v>
      </c>
      <c r="AD32" s="34" t="str">
        <v>PROJ</v>
      </c>
      <c r="AE32" s="34" t="str">
        <v>PROJ</v>
      </c>
      <c r="AF32" s="34" t="str">
        <v>PROJ</v>
      </c>
      <c r="AG32" s="34" t="str">
        <v>PROJ</v>
      </c>
      <c r="AH32" s="34" t="str">
        <v>PROJ</v>
      </c>
      <c r="AI32" s="34" t="str">
        <v>PROJ</v>
      </c>
      <c r="AJ32" s="34" t="str">
        <v>PROJ</v>
      </c>
      <c r="AK32" s="34" t="str">
        <v>PROJ</v>
      </c>
      <c r="AL32" s="34" t="str">
        <v>PROJ</v>
      </c>
      <c r="AM32" s="34" t="str">
        <v>PROJ</v>
      </c>
      <c r="AN32" s="34" t="str">
        <v>PROJ</v>
      </c>
      <c r="AO32" s="34" t="str">
        <v>PROJ</v>
      </c>
      <c r="AP32" s="34" t="str">
        <v>PROJ</v>
      </c>
      <c r="AQ32" s="34" t="str">
        <v>PROJ</v>
      </c>
      <c r="AR32" s="34" t="str">
        <v>PROJ</v>
      </c>
      <c r="AS32" s="34" t="str">
        <v>PROJ</v>
      </c>
      <c r="AT32" s="34" t="str">
        <v>PROJ</v>
      </c>
      <c r="AU32" s="34" t="str">
        <v>PROJ</v>
      </c>
      <c r="AV32" s="34" t="str">
        <v>PROJ</v>
      </c>
      <c r="AW32" s="34" t="str">
        <v>PROJ</v>
      </c>
      <c r="AX32" s="34" t="str">
        <v>PROJ</v>
      </c>
      <c r="AY32" s="34" t="str">
        <v>PROJ</v>
      </c>
      <c r="AZ32" s="45" t="str">
        <v>PROJ</v>
      </c>
      <c r="BA32" s="60" t="str">
        <v>PROJ</v>
      </c>
      <c r="BB32" s="61" t="str">
        <v>PROJ</v>
      </c>
      <c r="BC32" s="36" t="str">
        <v>PROJ</v>
      </c>
      <c r="BD32" s="34" t="str">
        <v>PROJ</v>
      </c>
      <c r="BE32" s="34" t="str">
        <v>PROJ</v>
      </c>
      <c r="BF32" s="34" t="str">
        <v>PROJ</v>
      </c>
      <c r="BG32" s="34" t="str">
        <v>PROJ</v>
      </c>
      <c r="BH32" s="34" t="str">
        <v>PROJ</v>
      </c>
      <c r="BI32" s="34" t="str">
        <v>PROJ</v>
      </c>
      <c r="BL32" s="62">
        <f t="shared" si="0"/>
        <v>0</v>
      </c>
      <c r="BM32" s="63" t="s">
        <v>16</v>
      </c>
      <c r="BN32" s="64"/>
      <c r="BO32" s="64"/>
      <c r="BP32" s="63">
        <f t="shared" si="1"/>
        <v>58</v>
      </c>
      <c r="BQ32" s="65">
        <f t="shared" si="3"/>
        <v>0</v>
      </c>
    </row>
    <row r="33" spans="3:69" ht="15" thickBot="1" x14ac:dyDescent="0.25">
      <c r="C33" s="35">
        <v>3</v>
      </c>
      <c r="D33" s="34" t="str">
        <v>PROJ</v>
      </c>
      <c r="E33" s="34" t="str">
        <v>PROJ</v>
      </c>
      <c r="F33" s="34" t="str">
        <v>PROJ</v>
      </c>
      <c r="G33" s="34" t="str">
        <v>PROJ</v>
      </c>
      <c r="H33" s="34" t="str">
        <v>PROJ</v>
      </c>
      <c r="I33" s="34" t="str">
        <v>PROJ</v>
      </c>
      <c r="J33" s="34" t="str">
        <v>PROJ</v>
      </c>
      <c r="K33" s="34" t="str">
        <v>PROJ</v>
      </c>
      <c r="L33" s="34" t="str">
        <v>PROJ</v>
      </c>
      <c r="M33" s="34" t="str">
        <v>PROJ</v>
      </c>
      <c r="N33" s="34" t="str">
        <v>PROJ</v>
      </c>
      <c r="O33" s="34" t="str">
        <v>PROJ</v>
      </c>
      <c r="P33" s="34" t="str">
        <v>PROJ</v>
      </c>
      <c r="Q33" s="34" t="str">
        <v>--</v>
      </c>
      <c r="R33" s="34" t="str">
        <v>PROJ</v>
      </c>
      <c r="S33" s="34" t="str">
        <v>PROJ</v>
      </c>
      <c r="T33" s="34" t="str">
        <v>PROJ</v>
      </c>
      <c r="U33" s="34" t="str">
        <v>PROJ</v>
      </c>
      <c r="V33" s="34" t="str">
        <v>PROJ</v>
      </c>
      <c r="W33" s="34" t="str">
        <v>PROJ</v>
      </c>
      <c r="X33" s="34" t="str">
        <v>PROJ</v>
      </c>
      <c r="Y33" s="34" t="str">
        <v>PROJ</v>
      </c>
      <c r="Z33" s="34" t="str">
        <v>PROJ</v>
      </c>
      <c r="AA33" s="34" t="str">
        <v>PROJ</v>
      </c>
      <c r="AB33" s="34" t="str">
        <v>PROJ</v>
      </c>
      <c r="AC33" s="34" t="str">
        <v>PROJ</v>
      </c>
      <c r="AD33" s="34" t="str">
        <v>PROJ</v>
      </c>
      <c r="AE33" s="34" t="str">
        <v>PROJ</v>
      </c>
      <c r="AF33" s="34" t="str">
        <v>PROJ</v>
      </c>
      <c r="AG33" s="34" t="str">
        <v>PROJ</v>
      </c>
      <c r="AH33" s="34" t="str">
        <v>PROJ</v>
      </c>
      <c r="AI33" s="34" t="str">
        <v>PROJ</v>
      </c>
      <c r="AJ33" s="34" t="str">
        <v>PROJ</v>
      </c>
      <c r="AK33" s="34" t="str">
        <v>--</v>
      </c>
      <c r="AL33" s="34" t="str">
        <v>PROJ</v>
      </c>
      <c r="AM33" s="34" t="str">
        <v>PROJ</v>
      </c>
      <c r="AN33" s="34" t="str">
        <v>PROJ</v>
      </c>
      <c r="AO33" s="34" t="str">
        <v>PROJ</v>
      </c>
      <c r="AP33" s="34" t="str">
        <v>PROJ</v>
      </c>
      <c r="AQ33" s="34" t="str">
        <v>PROJ</v>
      </c>
      <c r="AR33" s="34" t="str">
        <v>PROJ</v>
      </c>
      <c r="AS33" s="34" t="str">
        <v>PROJ</v>
      </c>
      <c r="AT33" s="34" t="str">
        <v>PROJ</v>
      </c>
      <c r="AU33" s="34" t="str">
        <v>PROJ</v>
      </c>
      <c r="AV33" s="34" t="str">
        <v>PROJ</v>
      </c>
      <c r="AW33" s="34" t="str">
        <v>PROJ</v>
      </c>
      <c r="AX33" s="34" t="str">
        <v>PROJ</v>
      </c>
      <c r="AY33" s="34" t="str">
        <v>PROJ</v>
      </c>
      <c r="AZ33" s="45" t="str">
        <v>PROJ</v>
      </c>
      <c r="BA33" s="58" t="str">
        <v>PROJ</v>
      </c>
      <c r="BB33" s="59" t="str">
        <v>PROJ</v>
      </c>
      <c r="BC33" s="36" t="str">
        <v>PROJ</v>
      </c>
      <c r="BD33" s="34" t="str">
        <v>PROJ</v>
      </c>
      <c r="BE33" s="34" t="str">
        <v>PROJ</v>
      </c>
      <c r="BF33" s="34" t="str">
        <v>--</v>
      </c>
      <c r="BG33" s="34" t="str">
        <v>PROJ</v>
      </c>
      <c r="BH33" s="34" t="str">
        <v>PROJ</v>
      </c>
      <c r="BI33" s="34" t="str">
        <v>PROJ</v>
      </c>
      <c r="BL33" s="66">
        <f t="shared" si="0"/>
        <v>0</v>
      </c>
      <c r="BM33" s="67" t="s">
        <v>16</v>
      </c>
      <c r="BN33" s="68"/>
      <c r="BO33" s="68"/>
      <c r="BP33" s="67">
        <v>55</v>
      </c>
      <c r="BQ33" s="69">
        <f t="shared" ref="BQ33" si="4">BL33/BP33</f>
        <v>0</v>
      </c>
    </row>
    <row r="34" spans="3:69" ht="19.5" customHeight="1" x14ac:dyDescent="0.2"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3"/>
      <c r="BA34" s="13"/>
      <c r="BB34" s="13"/>
      <c r="BC34" s="13"/>
      <c r="BD34" s="12"/>
      <c r="BE34" s="12"/>
      <c r="BF34" s="12"/>
      <c r="BG34" s="12"/>
      <c r="BH34" s="12"/>
      <c r="BI34" s="12"/>
    </row>
    <row r="36" spans="3:69" x14ac:dyDescent="0.2">
      <c r="M36" s="225"/>
    </row>
    <row r="37" spans="3:69" ht="25.5" x14ac:dyDescent="0.2">
      <c r="C37" s="75" t="s">
        <v>87</v>
      </c>
      <c r="M37" s="225"/>
    </row>
    <row r="38" spans="3:69" x14ac:dyDescent="0.2"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</row>
    <row r="39" spans="3:69" ht="15" thickBot="1" x14ac:dyDescent="0.25">
      <c r="BA39" s="5" t="s">
        <v>0</v>
      </c>
    </row>
    <row r="40" spans="3:69" ht="15" customHeight="1" x14ac:dyDescent="0.2">
      <c r="C40" s="6" t="s">
        <v>1</v>
      </c>
      <c r="D40" s="7" t="s">
        <v>2</v>
      </c>
      <c r="E40" s="7" t="s">
        <v>3</v>
      </c>
      <c r="F40" s="7" t="s">
        <v>4</v>
      </c>
      <c r="G40" s="7" t="s">
        <v>5</v>
      </c>
      <c r="H40" s="7" t="s">
        <v>6</v>
      </c>
      <c r="I40" s="7" t="s">
        <v>7</v>
      </c>
      <c r="J40" s="7" t="s">
        <v>8</v>
      </c>
      <c r="K40" s="7" t="s">
        <v>9</v>
      </c>
      <c r="L40" s="7" t="s">
        <v>10</v>
      </c>
      <c r="M40" s="7" t="s">
        <v>11</v>
      </c>
      <c r="N40" s="7" t="s">
        <v>12</v>
      </c>
      <c r="O40" s="7" t="s">
        <v>13</v>
      </c>
      <c r="P40" s="7">
        <v>13</v>
      </c>
      <c r="Q40" s="7">
        <v>14</v>
      </c>
      <c r="R40" s="7">
        <v>15</v>
      </c>
      <c r="S40" s="7">
        <v>16</v>
      </c>
      <c r="T40" s="7">
        <v>17</v>
      </c>
      <c r="U40" s="7">
        <v>18</v>
      </c>
      <c r="V40" s="7">
        <v>19</v>
      </c>
      <c r="W40" s="7">
        <v>20</v>
      </c>
      <c r="X40" s="7">
        <v>21</v>
      </c>
      <c r="Y40" s="7">
        <v>22</v>
      </c>
      <c r="Z40" s="7">
        <v>23</v>
      </c>
      <c r="AA40" s="7">
        <v>24</v>
      </c>
      <c r="AB40" s="7">
        <v>25</v>
      </c>
      <c r="AC40" s="7">
        <v>26</v>
      </c>
      <c r="AD40" s="7">
        <v>27</v>
      </c>
      <c r="AE40" s="7">
        <v>28</v>
      </c>
      <c r="AF40" s="7">
        <v>29</v>
      </c>
      <c r="AG40" s="7">
        <v>30</v>
      </c>
      <c r="AH40" s="7">
        <v>31</v>
      </c>
      <c r="AI40" s="7">
        <v>32</v>
      </c>
      <c r="AJ40" s="7">
        <v>33</v>
      </c>
      <c r="AK40" s="7">
        <v>34</v>
      </c>
      <c r="AL40" s="7">
        <v>35</v>
      </c>
      <c r="AM40" s="7">
        <v>36</v>
      </c>
      <c r="AN40" s="7">
        <v>37</v>
      </c>
      <c r="AO40" s="7">
        <v>38</v>
      </c>
      <c r="AP40" s="7">
        <v>39</v>
      </c>
      <c r="AQ40" s="7">
        <v>40</v>
      </c>
      <c r="AR40" s="7">
        <v>41</v>
      </c>
      <c r="AS40" s="7">
        <v>42</v>
      </c>
      <c r="AT40" s="7">
        <v>43</v>
      </c>
      <c r="AU40" s="7">
        <v>44</v>
      </c>
      <c r="AV40" s="7">
        <v>45</v>
      </c>
      <c r="AW40" s="7">
        <v>46</v>
      </c>
      <c r="AX40" s="7">
        <v>47</v>
      </c>
      <c r="AY40" s="7">
        <v>48</v>
      </c>
      <c r="AZ40" s="8">
        <v>49</v>
      </c>
      <c r="BA40" s="9">
        <v>50</v>
      </c>
      <c r="BB40" s="10">
        <v>51</v>
      </c>
      <c r="BC40" s="11">
        <v>52</v>
      </c>
      <c r="BD40" s="7">
        <v>53</v>
      </c>
      <c r="BE40" s="7">
        <v>54</v>
      </c>
      <c r="BF40" s="7">
        <v>55</v>
      </c>
      <c r="BG40" s="7">
        <v>56</v>
      </c>
      <c r="BH40" s="7">
        <v>57</v>
      </c>
      <c r="BI40" s="7">
        <v>58</v>
      </c>
      <c r="BJ40" s="369" t="s">
        <v>107</v>
      </c>
      <c r="BK40" s="369"/>
    </row>
    <row r="41" spans="3:69" ht="15" thickBot="1" x14ac:dyDescent="0.25">
      <c r="C41" s="320" t="s">
        <v>14</v>
      </c>
      <c r="D41" s="321"/>
      <c r="E41" s="321"/>
      <c r="F41" s="321"/>
      <c r="G41" s="321"/>
      <c r="H41" s="321"/>
      <c r="I41" s="321"/>
      <c r="J41" s="321"/>
      <c r="K41" s="321"/>
      <c r="L41" s="321"/>
      <c r="M41" s="321"/>
      <c r="N41" s="321"/>
      <c r="O41" s="321"/>
      <c r="P41" s="321"/>
      <c r="Q41" s="321"/>
      <c r="R41" s="321"/>
      <c r="S41" s="321"/>
      <c r="T41" s="321"/>
      <c r="U41" s="321"/>
      <c r="V41" s="321"/>
      <c r="W41" s="321"/>
      <c r="X41" s="321"/>
      <c r="Y41" s="321"/>
      <c r="Z41" s="321"/>
      <c r="AA41" s="321"/>
      <c r="AB41" s="321"/>
      <c r="AC41" s="321"/>
      <c r="AD41" s="321"/>
      <c r="AE41" s="321"/>
      <c r="AF41" s="321"/>
      <c r="AG41" s="321"/>
      <c r="AH41" s="321"/>
      <c r="AI41" s="321"/>
      <c r="AJ41" s="321"/>
      <c r="AK41" s="321"/>
      <c r="AL41" s="321"/>
      <c r="AM41" s="321"/>
      <c r="AN41" s="321"/>
      <c r="AO41" s="321"/>
      <c r="AP41" s="321"/>
      <c r="AQ41" s="321"/>
      <c r="AR41" s="321"/>
      <c r="AS41" s="321"/>
      <c r="AT41" s="321"/>
      <c r="AU41" s="321"/>
      <c r="AV41" s="321"/>
      <c r="AW41" s="321"/>
      <c r="AX41" s="321"/>
      <c r="AY41" s="321"/>
      <c r="AZ41" s="322"/>
      <c r="BA41" s="323"/>
      <c r="BB41" s="324"/>
      <c r="BC41" s="325"/>
      <c r="BD41" s="321"/>
      <c r="BE41" s="321"/>
      <c r="BF41" s="321"/>
      <c r="BG41" s="321"/>
      <c r="BH41" s="321"/>
      <c r="BI41" s="321"/>
      <c r="BJ41" s="369"/>
      <c r="BK41" s="369"/>
    </row>
    <row r="42" spans="3:69" ht="14.25" customHeight="1" x14ac:dyDescent="0.2">
      <c r="C42" s="315">
        <v>29</v>
      </c>
      <c r="D42" s="309" t="str" cm="1">
        <f t="array" ref="D42:BI68">_xlfn.XLOOKUP(($C42:$C68*100)+D$40:BI$40,'[1]111W_BUILDING MATRIX'!$B$8:$B$600,'[1]111W_BUILDING MATRIX'!$G$8:$G$600,"--")</f>
        <v>--</v>
      </c>
      <c r="E42" s="309" t="str">
        <v>--</v>
      </c>
      <c r="F42" s="309" t="str">
        <v>--</v>
      </c>
      <c r="G42" s="309" t="str">
        <v>--</v>
      </c>
      <c r="H42" s="309" t="str">
        <v>--</v>
      </c>
      <c r="I42" s="309" t="str">
        <v>--</v>
      </c>
      <c r="J42" s="309" t="str">
        <v>--</v>
      </c>
      <c r="K42" s="309" t="str">
        <v>--</v>
      </c>
      <c r="L42" s="309" t="str">
        <v>--</v>
      </c>
      <c r="M42" s="309" t="str">
        <v>--</v>
      </c>
      <c r="N42" s="309" t="str">
        <v>--</v>
      </c>
      <c r="O42" s="309" t="str">
        <v>--</v>
      </c>
      <c r="P42" s="309" t="str">
        <v>--</v>
      </c>
      <c r="Q42" s="309" t="str">
        <v>--</v>
      </c>
      <c r="R42" s="309" t="str">
        <v>--</v>
      </c>
      <c r="S42" s="309" t="str">
        <v>--</v>
      </c>
      <c r="T42" s="309" t="str">
        <v>--</v>
      </c>
      <c r="U42" s="309" t="str">
        <v>--</v>
      </c>
      <c r="V42" s="309" t="str">
        <v>--</v>
      </c>
      <c r="W42" s="309" t="str">
        <v>--</v>
      </c>
      <c r="X42" s="309" t="str">
        <v>--</v>
      </c>
      <c r="Y42" s="309" t="str">
        <v>--</v>
      </c>
      <c r="Z42" s="309" t="str">
        <v>--</v>
      </c>
      <c r="AA42" s="309" t="str">
        <v>--</v>
      </c>
      <c r="AB42" s="309" t="str">
        <v>--</v>
      </c>
      <c r="AC42" s="309" t="str">
        <v>--</v>
      </c>
      <c r="AD42" s="309" t="str">
        <v>--</v>
      </c>
      <c r="AE42" s="309" t="str">
        <v>--</v>
      </c>
      <c r="AF42" s="309" t="str">
        <v>--</v>
      </c>
      <c r="AG42" s="309" t="str">
        <v>--</v>
      </c>
      <c r="AH42" s="309" t="str">
        <v>--</v>
      </c>
      <c r="AI42" s="309" t="str">
        <v>--</v>
      </c>
      <c r="AJ42" s="309" t="str">
        <v>--</v>
      </c>
      <c r="AK42" s="309" t="str">
        <v>--</v>
      </c>
      <c r="AL42" s="309" t="str">
        <v>--</v>
      </c>
      <c r="AM42" s="309" t="str">
        <v>--</v>
      </c>
      <c r="AN42" s="309" t="str">
        <v>--</v>
      </c>
      <c r="AO42" s="309" t="str">
        <v>--</v>
      </c>
      <c r="AP42" s="309" t="str">
        <v>--</v>
      </c>
      <c r="AQ42" s="309" t="str">
        <v>--</v>
      </c>
      <c r="AR42" s="309" t="str">
        <v>--</v>
      </c>
      <c r="AS42" s="309" t="str">
        <v>--</v>
      </c>
      <c r="AT42" s="309" t="str">
        <v>--</v>
      </c>
      <c r="AU42" s="309" t="str">
        <v>--</v>
      </c>
      <c r="AV42" s="309" t="str">
        <v>--</v>
      </c>
      <c r="AW42" s="309" t="str">
        <v>--</v>
      </c>
      <c r="AX42" s="309" t="str">
        <v>--</v>
      </c>
      <c r="AY42" s="309" t="str">
        <v>--</v>
      </c>
      <c r="AZ42" s="316" t="str">
        <v>--</v>
      </c>
      <c r="BA42" s="317" t="str">
        <v>--</v>
      </c>
      <c r="BB42" s="318" t="str">
        <v>--</v>
      </c>
      <c r="BC42" s="319" t="str">
        <v>--</v>
      </c>
      <c r="BD42" s="309" t="str">
        <v>--</v>
      </c>
      <c r="BE42" s="309" t="str">
        <v>--</v>
      </c>
      <c r="BF42" s="309" t="str">
        <v>--</v>
      </c>
      <c r="BG42" s="309" t="str">
        <v>--</v>
      </c>
      <c r="BH42" s="309" t="str">
        <v>--</v>
      </c>
      <c r="BI42" s="309" t="str">
        <v>--</v>
      </c>
      <c r="BJ42" s="370" t="s">
        <v>106</v>
      </c>
      <c r="BK42" s="371"/>
    </row>
    <row r="43" spans="3:69" x14ac:dyDescent="0.2">
      <c r="C43" s="15">
        <v>28</v>
      </c>
      <c r="D43" s="16" t="str">
        <v>--</v>
      </c>
      <c r="E43" s="16" t="str">
        <v>--</v>
      </c>
      <c r="F43" s="16" t="str">
        <v>--</v>
      </c>
      <c r="G43" s="16" t="str">
        <v>--</v>
      </c>
      <c r="H43" s="16" t="str">
        <v>--</v>
      </c>
      <c r="I43" s="16" t="str">
        <v>--</v>
      </c>
      <c r="J43" s="16" t="str">
        <v>--</v>
      </c>
      <c r="K43" s="16" t="str">
        <v>--</v>
      </c>
      <c r="L43" s="16" t="str">
        <v>--</v>
      </c>
      <c r="M43" s="16" t="str">
        <v>--</v>
      </c>
      <c r="N43" s="16" t="str">
        <v>--</v>
      </c>
      <c r="O43" s="16" t="str">
        <v>--</v>
      </c>
      <c r="P43" s="16" t="str">
        <v>--</v>
      </c>
      <c r="Q43" s="16" t="str">
        <v>--</v>
      </c>
      <c r="R43" s="16" t="str">
        <v>--</v>
      </c>
      <c r="S43" s="16" t="str">
        <v>--</v>
      </c>
      <c r="T43" s="16" t="str">
        <v>--</v>
      </c>
      <c r="U43" s="16" t="str">
        <v>--</v>
      </c>
      <c r="V43" s="16" t="str">
        <v>--</v>
      </c>
      <c r="W43" s="16" t="str">
        <v>--</v>
      </c>
      <c r="X43" s="16" t="str">
        <v>--</v>
      </c>
      <c r="Y43" s="16" t="str">
        <v>--</v>
      </c>
      <c r="Z43" s="16" t="str">
        <v>--</v>
      </c>
      <c r="AA43" s="16" t="str">
        <v>--</v>
      </c>
      <c r="AB43" s="16" t="str">
        <v>--</v>
      </c>
      <c r="AC43" s="16" t="str">
        <v>--</v>
      </c>
      <c r="AD43" s="16" t="str">
        <v>--</v>
      </c>
      <c r="AE43" s="16" t="str">
        <v>--</v>
      </c>
      <c r="AF43" s="16" t="str">
        <v>--</v>
      </c>
      <c r="AG43" s="16" t="str">
        <v>--</v>
      </c>
      <c r="AH43" s="16" t="str">
        <v>--</v>
      </c>
      <c r="AI43" s="16" t="str">
        <v>--</v>
      </c>
      <c r="AJ43" s="16" t="str">
        <v>--</v>
      </c>
      <c r="AK43" s="16" t="str">
        <v>--</v>
      </c>
      <c r="AL43" s="16" t="str">
        <v>--</v>
      </c>
      <c r="AM43" s="16" t="str">
        <v>--</v>
      </c>
      <c r="AN43" s="16" t="str">
        <v>--</v>
      </c>
      <c r="AO43" s="16" t="str">
        <v>--</v>
      </c>
      <c r="AP43" s="16" t="str">
        <v>--</v>
      </c>
      <c r="AQ43" s="16" t="str">
        <v>--</v>
      </c>
      <c r="AR43" s="16" t="str">
        <v>--</v>
      </c>
      <c r="AS43" s="16" t="str">
        <v>--</v>
      </c>
      <c r="AT43" s="16" t="str">
        <v>--</v>
      </c>
      <c r="AU43" s="16" t="str">
        <v>--</v>
      </c>
      <c r="AV43" s="16" t="str">
        <v>--</v>
      </c>
      <c r="AW43" s="16" t="str">
        <v>--</v>
      </c>
      <c r="AX43" s="16" t="str">
        <v>--</v>
      </c>
      <c r="AY43" s="16" t="str">
        <v>--</v>
      </c>
      <c r="AZ43" s="17" t="str">
        <v>--</v>
      </c>
      <c r="BA43" s="18" t="str">
        <v>--</v>
      </c>
      <c r="BB43" s="19" t="str">
        <v>--</v>
      </c>
      <c r="BC43" s="20" t="str">
        <v>--</v>
      </c>
      <c r="BD43" s="16" t="str">
        <v>--</v>
      </c>
      <c r="BE43" s="16" t="str">
        <v>--</v>
      </c>
      <c r="BF43" s="16" t="str">
        <v>--</v>
      </c>
      <c r="BG43" s="16" t="str">
        <v>--</v>
      </c>
      <c r="BH43" s="16" t="str">
        <v>--</v>
      </c>
      <c r="BI43" s="16" t="str">
        <v>--</v>
      </c>
      <c r="BJ43" s="372"/>
      <c r="BK43" s="373"/>
    </row>
    <row r="44" spans="3:69" x14ac:dyDescent="0.2">
      <c r="C44" s="15">
        <v>27</v>
      </c>
      <c r="D44" s="16" t="str">
        <v>--</v>
      </c>
      <c r="E44" s="16" t="str">
        <v>--</v>
      </c>
      <c r="F44" s="16" t="str">
        <v>--</v>
      </c>
      <c r="G44" s="16" t="str">
        <v>--</v>
      </c>
      <c r="H44" s="16" t="str">
        <v>--</v>
      </c>
      <c r="I44" s="16" t="str">
        <v>--</v>
      </c>
      <c r="J44" s="16" t="str">
        <v>--</v>
      </c>
      <c r="K44" s="16" t="str">
        <v>--</v>
      </c>
      <c r="L44" s="16" t="str">
        <v>--</v>
      </c>
      <c r="M44" s="16" t="str">
        <v>--</v>
      </c>
      <c r="N44" s="16" t="str">
        <v>--</v>
      </c>
      <c r="O44" s="16" t="str">
        <v>--</v>
      </c>
      <c r="P44" s="16" t="str">
        <v>--</v>
      </c>
      <c r="Q44" s="16" t="str">
        <v>--</v>
      </c>
      <c r="R44" s="16" t="str">
        <v>--</v>
      </c>
      <c r="S44" s="16" t="str">
        <v>--</v>
      </c>
      <c r="T44" s="16" t="str">
        <v>--</v>
      </c>
      <c r="U44" s="16" t="str">
        <v>--</v>
      </c>
      <c r="V44" s="16" t="str">
        <v>--</v>
      </c>
      <c r="W44" s="16" t="str">
        <v>--</v>
      </c>
      <c r="X44" s="16" t="str">
        <v>--</v>
      </c>
      <c r="Y44" s="16" t="str">
        <v>--</v>
      </c>
      <c r="Z44" s="16" t="str">
        <v>--</v>
      </c>
      <c r="AA44" s="16" t="str">
        <v>--</v>
      </c>
      <c r="AB44" s="16" t="str">
        <v>--</v>
      </c>
      <c r="AC44" s="16" t="str">
        <v>--</v>
      </c>
      <c r="AD44" s="16" t="str">
        <v>--</v>
      </c>
      <c r="AE44" s="16" t="str">
        <v>--</v>
      </c>
      <c r="AF44" s="16" t="str">
        <v>--</v>
      </c>
      <c r="AG44" s="16" t="str">
        <v>--</v>
      </c>
      <c r="AH44" s="16" t="str">
        <v>--</v>
      </c>
      <c r="AI44" s="16" t="str">
        <v>--</v>
      </c>
      <c r="AJ44" s="16" t="str">
        <v>--</v>
      </c>
      <c r="AK44" s="16" t="str">
        <v>--</v>
      </c>
      <c r="AL44" s="16" t="str">
        <v>--</v>
      </c>
      <c r="AM44" s="16" t="str">
        <v>--</v>
      </c>
      <c r="AN44" s="16" t="str">
        <v>--</v>
      </c>
      <c r="AO44" s="16" t="str">
        <v>--</v>
      </c>
      <c r="AP44" s="16" t="str">
        <v>--</v>
      </c>
      <c r="AQ44" s="16" t="str">
        <v>--</v>
      </c>
      <c r="AR44" s="16" t="str">
        <v>--</v>
      </c>
      <c r="AS44" s="16" t="str">
        <v>--</v>
      </c>
      <c r="AT44" s="16" t="str">
        <v>--</v>
      </c>
      <c r="AU44" s="16" t="str">
        <v>--</v>
      </c>
      <c r="AV44" s="16" t="str">
        <v>--</v>
      </c>
      <c r="AW44" s="16" t="str">
        <v>--</v>
      </c>
      <c r="AX44" s="16" t="str">
        <v>--</v>
      </c>
      <c r="AY44" s="16" t="str">
        <v>--</v>
      </c>
      <c r="AZ44" s="17" t="str">
        <v>--</v>
      </c>
      <c r="BA44" s="18" t="str">
        <v>--</v>
      </c>
      <c r="BB44" s="19" t="str">
        <v>--</v>
      </c>
      <c r="BC44" s="20" t="str">
        <v>--</v>
      </c>
      <c r="BD44" s="16" t="str">
        <v>--</v>
      </c>
      <c r="BE44" s="16" t="str">
        <v>--</v>
      </c>
      <c r="BF44" s="16" t="str">
        <v>--</v>
      </c>
      <c r="BG44" s="16" t="str">
        <v>--</v>
      </c>
      <c r="BH44" s="16" t="str">
        <v>--</v>
      </c>
      <c r="BI44" s="16" t="str">
        <v>--</v>
      </c>
      <c r="BJ44" s="372"/>
      <c r="BK44" s="373"/>
    </row>
    <row r="45" spans="3:69" x14ac:dyDescent="0.2">
      <c r="C45" s="15">
        <v>26</v>
      </c>
      <c r="D45" s="16" t="str">
        <v>--</v>
      </c>
      <c r="E45" s="16" t="str">
        <v>--</v>
      </c>
      <c r="F45" s="16" t="str">
        <v>--</v>
      </c>
      <c r="G45" s="16" t="str">
        <v>--</v>
      </c>
      <c r="H45" s="16" t="str">
        <v>--</v>
      </c>
      <c r="I45" s="16" t="str">
        <v>--</v>
      </c>
      <c r="J45" s="16" t="str">
        <v>--</v>
      </c>
      <c r="K45" s="16" t="str">
        <v>--</v>
      </c>
      <c r="L45" s="16" t="str">
        <v>--</v>
      </c>
      <c r="M45" s="16" t="str">
        <v>--</v>
      </c>
      <c r="N45" s="16" t="str">
        <v>--</v>
      </c>
      <c r="O45" s="16" t="str">
        <v>--</v>
      </c>
      <c r="P45" s="16" t="str">
        <v>--</v>
      </c>
      <c r="Q45" s="16" t="str">
        <v>--</v>
      </c>
      <c r="R45" s="16" t="str">
        <v>--</v>
      </c>
      <c r="S45" s="16" t="str">
        <v>--</v>
      </c>
      <c r="T45" s="16" t="str">
        <v>--</v>
      </c>
      <c r="U45" s="16" t="str">
        <v>--</v>
      </c>
      <c r="V45" s="16" t="str">
        <v>--</v>
      </c>
      <c r="W45" s="16" t="str">
        <v>--</v>
      </c>
      <c r="X45" s="16" t="str">
        <v>--</v>
      </c>
      <c r="Y45" s="16" t="str">
        <v>--</v>
      </c>
      <c r="Z45" s="16" t="str">
        <v>--</v>
      </c>
      <c r="AA45" s="16" t="str">
        <v>--</v>
      </c>
      <c r="AB45" s="16" t="str">
        <v>--</v>
      </c>
      <c r="AC45" s="16" t="str">
        <v>--</v>
      </c>
      <c r="AD45" s="16" t="str">
        <v>--</v>
      </c>
      <c r="AE45" s="16" t="str">
        <v>--</v>
      </c>
      <c r="AF45" s="16" t="str">
        <v>--</v>
      </c>
      <c r="AG45" s="16" t="str">
        <v>--</v>
      </c>
      <c r="AH45" s="16" t="str">
        <v>--</v>
      </c>
      <c r="AI45" s="16" t="str">
        <v>--</v>
      </c>
      <c r="AJ45" s="16" t="str">
        <v>--</v>
      </c>
      <c r="AK45" s="16" t="str">
        <v>--</v>
      </c>
      <c r="AL45" s="16" t="str">
        <v>--</v>
      </c>
      <c r="AM45" s="16" t="str">
        <v>--</v>
      </c>
      <c r="AN45" s="16" t="str">
        <v>--</v>
      </c>
      <c r="AO45" s="16" t="str">
        <v>--</v>
      </c>
      <c r="AP45" s="16" t="str">
        <v>--</v>
      </c>
      <c r="AQ45" s="16" t="str">
        <v>--</v>
      </c>
      <c r="AR45" s="16" t="str">
        <v>--</v>
      </c>
      <c r="AS45" s="16" t="str">
        <v>--</v>
      </c>
      <c r="AT45" s="16" t="str">
        <v>--</v>
      </c>
      <c r="AU45" s="16" t="str">
        <v>--</v>
      </c>
      <c r="AV45" s="16" t="str">
        <v>--</v>
      </c>
      <c r="AW45" s="16" t="str">
        <v>--</v>
      </c>
      <c r="AX45" s="16" t="str">
        <v>--</v>
      </c>
      <c r="AY45" s="16" t="str">
        <v>--</v>
      </c>
      <c r="AZ45" s="17" t="str">
        <v>--</v>
      </c>
      <c r="BA45" s="18" t="str">
        <v>--</v>
      </c>
      <c r="BB45" s="19" t="str">
        <v>--</v>
      </c>
      <c r="BC45" s="20" t="str">
        <v>--</v>
      </c>
      <c r="BD45" s="16" t="str">
        <v>--</v>
      </c>
      <c r="BE45" s="16" t="str">
        <v>--</v>
      </c>
      <c r="BF45" s="16" t="str">
        <v>--</v>
      </c>
      <c r="BG45" s="16" t="str">
        <v>--</v>
      </c>
      <c r="BH45" s="16" t="str">
        <v>--</v>
      </c>
      <c r="BI45" s="16" t="str">
        <v>--</v>
      </c>
      <c r="BJ45" s="372"/>
      <c r="BK45" s="373"/>
    </row>
    <row r="46" spans="3:69" x14ac:dyDescent="0.2">
      <c r="C46" s="15">
        <v>25</v>
      </c>
      <c r="D46" s="16" t="str">
        <v>--</v>
      </c>
      <c r="E46" s="16" t="str">
        <v>--</v>
      </c>
      <c r="F46" s="16" t="str">
        <v>--</v>
      </c>
      <c r="G46" s="16" t="str">
        <v>--</v>
      </c>
      <c r="H46" s="16" t="str">
        <v>--</v>
      </c>
      <c r="I46" s="16" t="str">
        <v>--</v>
      </c>
      <c r="J46" s="16" t="str">
        <v>--</v>
      </c>
      <c r="K46" s="16" t="str">
        <v>--</v>
      </c>
      <c r="L46" s="16" t="str">
        <v>--</v>
      </c>
      <c r="M46" s="16" t="str">
        <v>--</v>
      </c>
      <c r="N46" s="16" t="str">
        <v>--</v>
      </c>
      <c r="O46" s="16" t="str">
        <v>--</v>
      </c>
      <c r="P46" s="16" t="str">
        <v>--</v>
      </c>
      <c r="Q46" s="16" t="str">
        <v>--</v>
      </c>
      <c r="R46" s="16" t="str">
        <v>--</v>
      </c>
      <c r="S46" s="16" t="str">
        <v>--</v>
      </c>
      <c r="T46" s="16" t="str">
        <v>--</v>
      </c>
      <c r="U46" s="16" t="str">
        <v>--</v>
      </c>
      <c r="V46" s="16" t="str">
        <v>--</v>
      </c>
      <c r="W46" s="16" t="str">
        <v>--</v>
      </c>
      <c r="X46" s="16" t="str">
        <v>--</v>
      </c>
      <c r="Y46" s="16" t="str">
        <v>--</v>
      </c>
      <c r="Z46" s="16" t="str">
        <v>--</v>
      </c>
      <c r="AA46" s="16" t="str">
        <v>--</v>
      </c>
      <c r="AB46" s="16" t="str">
        <v>--</v>
      </c>
      <c r="AC46" s="16" t="str">
        <v>--</v>
      </c>
      <c r="AD46" s="16" t="str">
        <v>--</v>
      </c>
      <c r="AE46" s="16" t="str">
        <v>--</v>
      </c>
      <c r="AF46" s="16" t="str">
        <v>--</v>
      </c>
      <c r="AG46" s="16" t="str">
        <v>--</v>
      </c>
      <c r="AH46" s="16" t="str">
        <v>--</v>
      </c>
      <c r="AI46" s="16" t="str">
        <v>--</v>
      </c>
      <c r="AJ46" s="16" t="str">
        <v>--</v>
      </c>
      <c r="AK46" s="16" t="str">
        <v>--</v>
      </c>
      <c r="AL46" s="16" t="str">
        <v>--</v>
      </c>
      <c r="AM46" s="16" t="str">
        <v>--</v>
      </c>
      <c r="AN46" s="16" t="str">
        <v>--</v>
      </c>
      <c r="AO46" s="16" t="str">
        <v>--</v>
      </c>
      <c r="AP46" s="16" t="str">
        <v>--</v>
      </c>
      <c r="AQ46" s="16" t="str">
        <v>--</v>
      </c>
      <c r="AR46" s="16" t="str">
        <v>--</v>
      </c>
      <c r="AS46" s="16" t="str">
        <v>--</v>
      </c>
      <c r="AT46" s="16" t="str">
        <v>--</v>
      </c>
      <c r="AU46" s="16" t="str">
        <v>--</v>
      </c>
      <c r="AV46" s="16" t="str">
        <v>--</v>
      </c>
      <c r="AW46" s="16" t="str">
        <v>--</v>
      </c>
      <c r="AX46" s="16" t="str">
        <v>--</v>
      </c>
      <c r="AY46" s="16" t="str">
        <v>--</v>
      </c>
      <c r="AZ46" s="17" t="str">
        <v>--</v>
      </c>
      <c r="BA46" s="18" t="str">
        <v>--</v>
      </c>
      <c r="BB46" s="19" t="str">
        <v>--</v>
      </c>
      <c r="BC46" s="20" t="str">
        <v>--</v>
      </c>
      <c r="BD46" s="16" t="str">
        <v>--</v>
      </c>
      <c r="BE46" s="16" t="str">
        <v>--</v>
      </c>
      <c r="BF46" s="16" t="str">
        <v>--</v>
      </c>
      <c r="BG46" s="16" t="str">
        <v>--</v>
      </c>
      <c r="BH46" s="16" t="str">
        <v>--</v>
      </c>
      <c r="BI46" s="16" t="str">
        <v>--</v>
      </c>
      <c r="BJ46" s="372"/>
      <c r="BK46" s="373"/>
    </row>
    <row r="47" spans="3:69" ht="15" thickBot="1" x14ac:dyDescent="0.25">
      <c r="C47" s="310">
        <v>24</v>
      </c>
      <c r="D47" s="308" t="str">
        <v>--</v>
      </c>
      <c r="E47" s="308" t="str">
        <v>--</v>
      </c>
      <c r="F47" s="308" t="str">
        <v>--</v>
      </c>
      <c r="G47" s="308" t="str">
        <v>--</v>
      </c>
      <c r="H47" s="308" t="str">
        <v>--</v>
      </c>
      <c r="I47" s="308" t="str">
        <v>--</v>
      </c>
      <c r="J47" s="308" t="str">
        <v>--</v>
      </c>
      <c r="K47" s="308" t="str">
        <v>--</v>
      </c>
      <c r="L47" s="308" t="str">
        <v>--</v>
      </c>
      <c r="M47" s="308" t="str">
        <v>--</v>
      </c>
      <c r="N47" s="308" t="str">
        <v>--</v>
      </c>
      <c r="O47" s="308" t="str">
        <v>--</v>
      </c>
      <c r="P47" s="308" t="str">
        <v>--</v>
      </c>
      <c r="Q47" s="308" t="str">
        <v>--</v>
      </c>
      <c r="R47" s="308" t="str">
        <v>--</v>
      </c>
      <c r="S47" s="308" t="str">
        <v>--</v>
      </c>
      <c r="T47" s="308" t="str">
        <v>--</v>
      </c>
      <c r="U47" s="308" t="str">
        <v>--</v>
      </c>
      <c r="V47" s="308" t="str">
        <v>--</v>
      </c>
      <c r="W47" s="308" t="str">
        <v>--</v>
      </c>
      <c r="X47" s="308" t="str">
        <v>--</v>
      </c>
      <c r="Y47" s="308" t="str">
        <v>--</v>
      </c>
      <c r="Z47" s="308" t="str">
        <v>--</v>
      </c>
      <c r="AA47" s="308" t="str">
        <v>--</v>
      </c>
      <c r="AB47" s="308" t="str">
        <v>--</v>
      </c>
      <c r="AC47" s="308" t="str">
        <v>--</v>
      </c>
      <c r="AD47" s="308" t="str">
        <v>--</v>
      </c>
      <c r="AE47" s="308" t="str">
        <v>--</v>
      </c>
      <c r="AF47" s="308" t="str">
        <v>--</v>
      </c>
      <c r="AG47" s="308" t="str">
        <v>--</v>
      </c>
      <c r="AH47" s="308" t="str">
        <v>--</v>
      </c>
      <c r="AI47" s="308" t="str">
        <v>--</v>
      </c>
      <c r="AJ47" s="308" t="str">
        <v>--</v>
      </c>
      <c r="AK47" s="308" t="str">
        <v>--</v>
      </c>
      <c r="AL47" s="308" t="str">
        <v>--</v>
      </c>
      <c r="AM47" s="308" t="str">
        <v>--</v>
      </c>
      <c r="AN47" s="308" t="str">
        <v>--</v>
      </c>
      <c r="AO47" s="308" t="str">
        <v>--</v>
      </c>
      <c r="AP47" s="308" t="str">
        <v>--</v>
      </c>
      <c r="AQ47" s="308" t="str">
        <v>--</v>
      </c>
      <c r="AR47" s="308" t="str">
        <v>--</v>
      </c>
      <c r="AS47" s="308" t="str">
        <v>--</v>
      </c>
      <c r="AT47" s="308" t="str">
        <v>--</v>
      </c>
      <c r="AU47" s="308" t="str">
        <v>--</v>
      </c>
      <c r="AV47" s="308" t="str">
        <v>--</v>
      </c>
      <c r="AW47" s="308" t="str">
        <v>--</v>
      </c>
      <c r="AX47" s="308" t="str">
        <v>--</v>
      </c>
      <c r="AY47" s="308" t="str">
        <v>--</v>
      </c>
      <c r="AZ47" s="311" t="str">
        <v>--</v>
      </c>
      <c r="BA47" s="312" t="str">
        <v>--</v>
      </c>
      <c r="BB47" s="313" t="str">
        <v>--</v>
      </c>
      <c r="BC47" s="314" t="str">
        <v>--</v>
      </c>
      <c r="BD47" s="308" t="str">
        <v>--</v>
      </c>
      <c r="BE47" s="308" t="str">
        <v>--</v>
      </c>
      <c r="BF47" s="308" t="str">
        <v>--</v>
      </c>
      <c r="BG47" s="308" t="str">
        <v>--</v>
      </c>
      <c r="BH47" s="308" t="str">
        <v>--</v>
      </c>
      <c r="BI47" s="308" t="str">
        <v>--</v>
      </c>
      <c r="BJ47" s="372"/>
      <c r="BK47" s="373"/>
    </row>
    <row r="48" spans="3:69" x14ac:dyDescent="0.2">
      <c r="C48" s="315">
        <v>23</v>
      </c>
      <c r="D48" s="309" t="str">
        <v>--</v>
      </c>
      <c r="E48" s="309" t="str">
        <v>--</v>
      </c>
      <c r="F48" s="309" t="str">
        <v>--</v>
      </c>
      <c r="G48" s="309" t="str">
        <v>--</v>
      </c>
      <c r="H48" s="309" t="str">
        <v>--</v>
      </c>
      <c r="I48" s="309" t="str">
        <v>--</v>
      </c>
      <c r="J48" s="309" t="str">
        <v>--</v>
      </c>
      <c r="K48" s="309" t="str">
        <v>--</v>
      </c>
      <c r="L48" s="309" t="str">
        <v>--</v>
      </c>
      <c r="M48" s="309" t="str">
        <v>--</v>
      </c>
      <c r="N48" s="309" t="str">
        <v>--</v>
      </c>
      <c r="O48" s="309" t="str">
        <v>--</v>
      </c>
      <c r="P48" s="309" t="str">
        <v>--</v>
      </c>
      <c r="Q48" s="309" t="str">
        <v>--</v>
      </c>
      <c r="R48" s="309" t="str">
        <v>--</v>
      </c>
      <c r="S48" s="309" t="str">
        <v>--</v>
      </c>
      <c r="T48" s="309" t="str">
        <v>--</v>
      </c>
      <c r="U48" s="309" t="str">
        <v>--</v>
      </c>
      <c r="V48" s="309" t="str">
        <v>--</v>
      </c>
      <c r="W48" s="309" t="str">
        <v>--</v>
      </c>
      <c r="X48" s="309" t="str">
        <v>--</v>
      </c>
      <c r="Y48" s="309" t="str">
        <v>--</v>
      </c>
      <c r="Z48" s="309" t="str">
        <v>--</v>
      </c>
      <c r="AA48" s="309" t="str">
        <v>--</v>
      </c>
      <c r="AB48" s="309" t="str">
        <v>--</v>
      </c>
      <c r="AC48" s="309" t="str">
        <v>--</v>
      </c>
      <c r="AD48" s="309" t="str">
        <v>--</v>
      </c>
      <c r="AE48" s="309" t="str">
        <v>--</v>
      </c>
      <c r="AF48" s="309" t="str">
        <v>--</v>
      </c>
      <c r="AG48" s="309" t="str">
        <v>--</v>
      </c>
      <c r="AH48" s="309" t="str">
        <v>--</v>
      </c>
      <c r="AI48" s="309" t="str">
        <v>--</v>
      </c>
      <c r="AJ48" s="309" t="str">
        <v>--</v>
      </c>
      <c r="AK48" s="309" t="str">
        <v>--</v>
      </c>
      <c r="AL48" s="309" t="str">
        <v>--</v>
      </c>
      <c r="AM48" s="309" t="str">
        <v>--</v>
      </c>
      <c r="AN48" s="309" t="str">
        <v>--</v>
      </c>
      <c r="AO48" s="309" t="str">
        <v>--</v>
      </c>
      <c r="AP48" s="309" t="str">
        <v>--</v>
      </c>
      <c r="AQ48" s="309" t="str">
        <v>--</v>
      </c>
      <c r="AR48" s="309" t="str">
        <v>--</v>
      </c>
      <c r="AS48" s="309" t="str">
        <v>--</v>
      </c>
      <c r="AT48" s="309" t="str">
        <v>--</v>
      </c>
      <c r="AU48" s="309" t="str">
        <v>--</v>
      </c>
      <c r="AV48" s="309" t="str">
        <v>--</v>
      </c>
      <c r="AW48" s="309" t="str">
        <v>--</v>
      </c>
      <c r="AX48" s="309" t="str">
        <v>--</v>
      </c>
      <c r="AY48" s="309" t="str">
        <v>--</v>
      </c>
      <c r="AZ48" s="316" t="str">
        <v>--</v>
      </c>
      <c r="BA48" s="317" t="str">
        <v>--</v>
      </c>
      <c r="BB48" s="318" t="str">
        <v>--</v>
      </c>
      <c r="BC48" s="319" t="str">
        <v>--</v>
      </c>
      <c r="BD48" s="309" t="str">
        <v>--</v>
      </c>
      <c r="BE48" s="309" t="str">
        <v>--</v>
      </c>
      <c r="BF48" s="309" t="str">
        <v>--</v>
      </c>
      <c r="BG48" s="309" t="str">
        <v>--</v>
      </c>
      <c r="BH48" s="309" t="str">
        <v>--</v>
      </c>
      <c r="BI48" s="309" t="str">
        <v>--</v>
      </c>
      <c r="BJ48" s="370" t="s">
        <v>105</v>
      </c>
      <c r="BK48" s="371"/>
    </row>
    <row r="49" spans="3:63" x14ac:dyDescent="0.2">
      <c r="C49" s="15">
        <v>22</v>
      </c>
      <c r="D49" s="16" t="str">
        <v>--</v>
      </c>
      <c r="E49" s="16" t="str">
        <v>--</v>
      </c>
      <c r="F49" s="16" t="str">
        <v>--</v>
      </c>
      <c r="G49" s="16" t="str">
        <v>--</v>
      </c>
      <c r="H49" s="16" t="str">
        <v>--</v>
      </c>
      <c r="I49" s="16" t="str">
        <v>--</v>
      </c>
      <c r="J49" s="16" t="str">
        <v>--</v>
      </c>
      <c r="K49" s="16" t="str">
        <v>--</v>
      </c>
      <c r="L49" s="16" t="str">
        <v>--</v>
      </c>
      <c r="M49" s="16" t="str">
        <v>--</v>
      </c>
      <c r="N49" s="16" t="str">
        <v>--</v>
      </c>
      <c r="O49" s="16" t="str">
        <v>--</v>
      </c>
      <c r="P49" s="16" t="str">
        <v>--</v>
      </c>
      <c r="Q49" s="16" t="str">
        <v>--</v>
      </c>
      <c r="R49" s="16" t="str">
        <v>--</v>
      </c>
      <c r="S49" s="16" t="str">
        <v>--</v>
      </c>
      <c r="T49" s="16" t="str">
        <v>--</v>
      </c>
      <c r="U49" s="16" t="str">
        <v>--</v>
      </c>
      <c r="V49" s="16" t="str">
        <v>--</v>
      </c>
      <c r="W49" s="16" t="str">
        <v>--</v>
      </c>
      <c r="X49" s="16" t="str">
        <v>--</v>
      </c>
      <c r="Y49" s="16" t="str">
        <v>--</v>
      </c>
      <c r="Z49" s="16" t="str">
        <v>--</v>
      </c>
      <c r="AA49" s="16" t="str">
        <v>--</v>
      </c>
      <c r="AB49" s="16" t="str">
        <v>--</v>
      </c>
      <c r="AC49" s="16" t="str">
        <v>--</v>
      </c>
      <c r="AD49" s="16" t="str">
        <v>--</v>
      </c>
      <c r="AE49" s="16" t="str">
        <v>--</v>
      </c>
      <c r="AF49" s="16" t="str">
        <v>--</v>
      </c>
      <c r="AG49" s="16" t="str">
        <v>--</v>
      </c>
      <c r="AH49" s="16" t="str">
        <v>--</v>
      </c>
      <c r="AI49" s="16" t="str">
        <v>--</v>
      </c>
      <c r="AJ49" s="16" t="str">
        <v>--</v>
      </c>
      <c r="AK49" s="16" t="str">
        <v>--</v>
      </c>
      <c r="AL49" s="16" t="str">
        <v>--</v>
      </c>
      <c r="AM49" s="16" t="str">
        <v>--</v>
      </c>
      <c r="AN49" s="16" t="str">
        <v>--</v>
      </c>
      <c r="AO49" s="16" t="str">
        <v>--</v>
      </c>
      <c r="AP49" s="16" t="str">
        <v>--</v>
      </c>
      <c r="AQ49" s="16" t="str">
        <v>--</v>
      </c>
      <c r="AR49" s="16" t="str">
        <v>--</v>
      </c>
      <c r="AS49" s="16" t="str">
        <v>--</v>
      </c>
      <c r="AT49" s="16" t="str">
        <v>--</v>
      </c>
      <c r="AU49" s="16" t="str">
        <v>--</v>
      </c>
      <c r="AV49" s="16" t="str">
        <v>--</v>
      </c>
      <c r="AW49" s="16" t="str">
        <v>--</v>
      </c>
      <c r="AX49" s="16" t="str">
        <v>--</v>
      </c>
      <c r="AY49" s="16" t="str">
        <v>--</v>
      </c>
      <c r="AZ49" s="17" t="str">
        <v>--</v>
      </c>
      <c r="BA49" s="18" t="str">
        <v>--</v>
      </c>
      <c r="BB49" s="19" t="str">
        <v>--</v>
      </c>
      <c r="BC49" s="20" t="str">
        <v>--</v>
      </c>
      <c r="BD49" s="16" t="str">
        <v>--</v>
      </c>
      <c r="BE49" s="16" t="str">
        <v>--</v>
      </c>
      <c r="BF49" s="16" t="str">
        <v>--</v>
      </c>
      <c r="BG49" s="16" t="str">
        <v>--</v>
      </c>
      <c r="BH49" s="16" t="str">
        <v>--</v>
      </c>
      <c r="BI49" s="16" t="str">
        <v>--</v>
      </c>
      <c r="BJ49" s="372"/>
      <c r="BK49" s="373"/>
    </row>
    <row r="50" spans="3:63" x14ac:dyDescent="0.2">
      <c r="C50" s="15">
        <v>21</v>
      </c>
      <c r="D50" s="16" t="str">
        <v>--</v>
      </c>
      <c r="E50" s="16" t="str">
        <v>--</v>
      </c>
      <c r="F50" s="16" t="str">
        <v>--</v>
      </c>
      <c r="G50" s="16" t="str">
        <v>--</v>
      </c>
      <c r="H50" s="16" t="str">
        <v>--</v>
      </c>
      <c r="I50" s="16" t="str">
        <v>--</v>
      </c>
      <c r="J50" s="16" t="str">
        <v>--</v>
      </c>
      <c r="K50" s="16" t="str">
        <v>--</v>
      </c>
      <c r="L50" s="16" t="str">
        <v>--</v>
      </c>
      <c r="M50" s="16" t="str">
        <v>--</v>
      </c>
      <c r="N50" s="16" t="str">
        <v>--</v>
      </c>
      <c r="O50" s="16" t="str">
        <v>--</v>
      </c>
      <c r="P50" s="16" t="str">
        <v>--</v>
      </c>
      <c r="Q50" s="16" t="str">
        <v>--</v>
      </c>
      <c r="R50" s="16" t="str">
        <v>--</v>
      </c>
      <c r="S50" s="16" t="str">
        <v>--</v>
      </c>
      <c r="T50" s="16" t="str">
        <v>--</v>
      </c>
      <c r="U50" s="16" t="str">
        <v>--</v>
      </c>
      <c r="V50" s="16" t="str">
        <v>--</v>
      </c>
      <c r="W50" s="16" t="str">
        <v>--</v>
      </c>
      <c r="X50" s="16" t="str">
        <v>--</v>
      </c>
      <c r="Y50" s="16" t="str">
        <v>--</v>
      </c>
      <c r="Z50" s="16" t="str">
        <v>--</v>
      </c>
      <c r="AA50" s="16" t="str">
        <v>--</v>
      </c>
      <c r="AB50" s="16" t="str">
        <v>--</v>
      </c>
      <c r="AC50" s="16" t="str">
        <v>--</v>
      </c>
      <c r="AD50" s="16" t="str">
        <v>--</v>
      </c>
      <c r="AE50" s="16" t="str">
        <v>--</v>
      </c>
      <c r="AF50" s="16" t="str">
        <v>--</v>
      </c>
      <c r="AG50" s="16" t="str">
        <v>--</v>
      </c>
      <c r="AH50" s="16" t="str">
        <v>--</v>
      </c>
      <c r="AI50" s="16" t="str">
        <v>--</v>
      </c>
      <c r="AJ50" s="16" t="str">
        <v>--</v>
      </c>
      <c r="AK50" s="16" t="str">
        <v>--</v>
      </c>
      <c r="AL50" s="16" t="str">
        <v>--</v>
      </c>
      <c r="AM50" s="16" t="str">
        <v>--</v>
      </c>
      <c r="AN50" s="16" t="str">
        <v>--</v>
      </c>
      <c r="AO50" s="16" t="str">
        <v>--</v>
      </c>
      <c r="AP50" s="16" t="str">
        <v>--</v>
      </c>
      <c r="AQ50" s="16" t="str">
        <v>--</v>
      </c>
      <c r="AR50" s="16" t="str">
        <v>--</v>
      </c>
      <c r="AS50" s="16" t="str">
        <v>--</v>
      </c>
      <c r="AT50" s="16" t="str">
        <v>--</v>
      </c>
      <c r="AU50" s="16" t="str">
        <v>--</v>
      </c>
      <c r="AV50" s="16" t="str">
        <v>--</v>
      </c>
      <c r="AW50" s="16" t="str">
        <v>--</v>
      </c>
      <c r="AX50" s="16" t="str">
        <v>--</v>
      </c>
      <c r="AY50" s="16" t="str">
        <v>--</v>
      </c>
      <c r="AZ50" s="17" t="str">
        <v>--</v>
      </c>
      <c r="BA50" s="18" t="str">
        <v>--</v>
      </c>
      <c r="BB50" s="19" t="str">
        <v>--</v>
      </c>
      <c r="BC50" s="20" t="str">
        <v>--</v>
      </c>
      <c r="BD50" s="16" t="str">
        <v>--</v>
      </c>
      <c r="BE50" s="16" t="str">
        <v>--</v>
      </c>
      <c r="BF50" s="16" t="str">
        <v>--</v>
      </c>
      <c r="BG50" s="16" t="str">
        <v>--</v>
      </c>
      <c r="BH50" s="16" t="str">
        <v>--</v>
      </c>
      <c r="BI50" s="16" t="str">
        <v>--</v>
      </c>
      <c r="BJ50" s="372"/>
      <c r="BK50" s="373"/>
    </row>
    <row r="51" spans="3:63" x14ac:dyDescent="0.2">
      <c r="C51" s="15">
        <v>20</v>
      </c>
      <c r="D51" s="16" t="str">
        <v>--</v>
      </c>
      <c r="E51" s="16" t="str">
        <v>--</v>
      </c>
      <c r="F51" s="16" t="str">
        <v>--</v>
      </c>
      <c r="G51" s="16" t="str">
        <v>--</v>
      </c>
      <c r="H51" s="16" t="str">
        <v>--</v>
      </c>
      <c r="I51" s="16" t="str">
        <v>--</v>
      </c>
      <c r="J51" s="16" t="str">
        <v>--</v>
      </c>
      <c r="K51" s="16" t="str">
        <v>--</v>
      </c>
      <c r="L51" s="16" t="str">
        <v>--</v>
      </c>
      <c r="M51" s="16" t="str">
        <v>--</v>
      </c>
      <c r="N51" s="16" t="str">
        <v>--</v>
      </c>
      <c r="O51" s="16" t="str">
        <v>--</v>
      </c>
      <c r="P51" s="16" t="str">
        <v>--</v>
      </c>
      <c r="Q51" s="16" t="str">
        <v>--</v>
      </c>
      <c r="R51" s="16" t="str">
        <v>--</v>
      </c>
      <c r="S51" s="16" t="str">
        <v>--</v>
      </c>
      <c r="T51" s="16" t="str">
        <v>--</v>
      </c>
      <c r="U51" s="16" t="str">
        <v>--</v>
      </c>
      <c r="V51" s="16" t="str">
        <v>--</v>
      </c>
      <c r="W51" s="16" t="str">
        <v>--</v>
      </c>
      <c r="X51" s="16" t="str">
        <v>--</v>
      </c>
      <c r="Y51" s="16" t="str">
        <v>--</v>
      </c>
      <c r="Z51" s="16" t="str">
        <v>--</v>
      </c>
      <c r="AA51" s="16" t="str">
        <v>--</v>
      </c>
      <c r="AB51" s="16" t="str">
        <v>--</v>
      </c>
      <c r="AC51" s="16" t="str">
        <v>--</v>
      </c>
      <c r="AD51" s="16" t="str">
        <v>--</v>
      </c>
      <c r="AE51" s="16" t="str">
        <v>--</v>
      </c>
      <c r="AF51" s="16" t="str">
        <v>--</v>
      </c>
      <c r="AG51" s="16" t="str">
        <v>--</v>
      </c>
      <c r="AH51" s="16" t="str">
        <v>--</v>
      </c>
      <c r="AI51" s="16" t="str">
        <v>--</v>
      </c>
      <c r="AJ51" s="16" t="str">
        <v>--</v>
      </c>
      <c r="AK51" s="16" t="str">
        <v>--</v>
      </c>
      <c r="AL51" s="16" t="str">
        <v>--</v>
      </c>
      <c r="AM51" s="16" t="str">
        <v>--</v>
      </c>
      <c r="AN51" s="16" t="str">
        <v>--</v>
      </c>
      <c r="AO51" s="16" t="str">
        <v>--</v>
      </c>
      <c r="AP51" s="16" t="str">
        <v>--</v>
      </c>
      <c r="AQ51" s="16" t="str">
        <v>--</v>
      </c>
      <c r="AR51" s="16" t="str">
        <v>--</v>
      </c>
      <c r="AS51" s="16" t="str">
        <v>--</v>
      </c>
      <c r="AT51" s="16" t="str">
        <v>--</v>
      </c>
      <c r="AU51" s="16" t="str">
        <v>--</v>
      </c>
      <c r="AV51" s="16" t="str">
        <v>--</v>
      </c>
      <c r="AW51" s="16" t="str">
        <v>--</v>
      </c>
      <c r="AX51" s="16" t="str">
        <v>--</v>
      </c>
      <c r="AY51" s="16" t="str">
        <v>--</v>
      </c>
      <c r="AZ51" s="17" t="str">
        <v>--</v>
      </c>
      <c r="BA51" s="18" t="str">
        <v>--</v>
      </c>
      <c r="BB51" s="19" t="str">
        <v>--</v>
      </c>
      <c r="BC51" s="20" t="str">
        <v>--</v>
      </c>
      <c r="BD51" s="16" t="str">
        <v>--</v>
      </c>
      <c r="BE51" s="16" t="str">
        <v>--</v>
      </c>
      <c r="BF51" s="16" t="str">
        <v>--</v>
      </c>
      <c r="BG51" s="16" t="str">
        <v>--</v>
      </c>
      <c r="BH51" s="16" t="str">
        <v>--</v>
      </c>
      <c r="BI51" s="16" t="str">
        <v>--</v>
      </c>
      <c r="BJ51" s="372"/>
      <c r="BK51" s="373"/>
    </row>
    <row r="52" spans="3:63" x14ac:dyDescent="0.2">
      <c r="C52" s="15">
        <v>19</v>
      </c>
      <c r="D52" s="16" t="str">
        <v>--</v>
      </c>
      <c r="E52" s="16" t="str">
        <v>--</v>
      </c>
      <c r="F52" s="16" t="str">
        <v>--</v>
      </c>
      <c r="G52" s="16" t="str">
        <v>--</v>
      </c>
      <c r="H52" s="16" t="str">
        <v>--</v>
      </c>
      <c r="I52" s="16" t="str">
        <v>--</v>
      </c>
      <c r="J52" s="16" t="str">
        <v>--</v>
      </c>
      <c r="K52" s="16" t="str">
        <v>--</v>
      </c>
      <c r="L52" s="16" t="str">
        <v>--</v>
      </c>
      <c r="M52" s="16" t="str">
        <v>--</v>
      </c>
      <c r="N52" s="16" t="str">
        <v>--</v>
      </c>
      <c r="O52" s="16" t="str">
        <v>--</v>
      </c>
      <c r="P52" s="16" t="str">
        <v>--</v>
      </c>
      <c r="Q52" s="16" t="str">
        <v>--</v>
      </c>
      <c r="R52" s="16" t="str">
        <v>--</v>
      </c>
      <c r="S52" s="16" t="str">
        <v>--</v>
      </c>
      <c r="T52" s="16" t="str">
        <v>--</v>
      </c>
      <c r="U52" s="16" t="str">
        <v>--</v>
      </c>
      <c r="V52" s="16" t="str">
        <v>--</v>
      </c>
      <c r="W52" s="16" t="str">
        <v>--</v>
      </c>
      <c r="X52" s="16" t="str">
        <v>--</v>
      </c>
      <c r="Y52" s="16" t="str">
        <v>--</v>
      </c>
      <c r="Z52" s="16" t="str">
        <v>--</v>
      </c>
      <c r="AA52" s="16" t="str">
        <v>--</v>
      </c>
      <c r="AB52" s="16" t="str">
        <v>--</v>
      </c>
      <c r="AC52" s="16" t="str">
        <v>--</v>
      </c>
      <c r="AD52" s="16" t="str">
        <v>--</v>
      </c>
      <c r="AE52" s="16" t="str">
        <v>--</v>
      </c>
      <c r="AF52" s="16" t="str">
        <v>--</v>
      </c>
      <c r="AG52" s="16" t="str">
        <v>--</v>
      </c>
      <c r="AH52" s="16" t="str">
        <v>--</v>
      </c>
      <c r="AI52" s="16" t="str">
        <v>--</v>
      </c>
      <c r="AJ52" s="16" t="str">
        <v>--</v>
      </c>
      <c r="AK52" s="16" t="str">
        <v>--</v>
      </c>
      <c r="AL52" s="16" t="str">
        <v>--</v>
      </c>
      <c r="AM52" s="16" t="str">
        <v>--</v>
      </c>
      <c r="AN52" s="16" t="str">
        <v>--</v>
      </c>
      <c r="AO52" s="16" t="str">
        <v>--</v>
      </c>
      <c r="AP52" s="16" t="str">
        <v>--</v>
      </c>
      <c r="AQ52" s="16" t="str">
        <v>--</v>
      </c>
      <c r="AR52" s="16" t="str">
        <v>--</v>
      </c>
      <c r="AS52" s="16" t="str">
        <v>--</v>
      </c>
      <c r="AT52" s="16" t="str">
        <v>--</v>
      </c>
      <c r="AU52" s="16" t="str">
        <v>--</v>
      </c>
      <c r="AV52" s="16" t="str">
        <v>--</v>
      </c>
      <c r="AW52" s="16" t="str">
        <v>--</v>
      </c>
      <c r="AX52" s="16" t="str">
        <v>--</v>
      </c>
      <c r="AY52" s="16" t="str">
        <v>--</v>
      </c>
      <c r="AZ52" s="17" t="str">
        <v>--</v>
      </c>
      <c r="BA52" s="18" t="str">
        <v>--</v>
      </c>
      <c r="BB52" s="19" t="str">
        <v>--</v>
      </c>
      <c r="BC52" s="20" t="str">
        <v>--</v>
      </c>
      <c r="BD52" s="16" t="str">
        <v>--</v>
      </c>
      <c r="BE52" s="16" t="str">
        <v>--</v>
      </c>
      <c r="BF52" s="16" t="str">
        <v>--</v>
      </c>
      <c r="BG52" s="16" t="str">
        <v>--</v>
      </c>
      <c r="BH52" s="16" t="str">
        <v>--</v>
      </c>
      <c r="BI52" s="16" t="str">
        <v>--</v>
      </c>
      <c r="BJ52" s="372"/>
      <c r="BK52" s="373"/>
    </row>
    <row r="53" spans="3:63" ht="15" thickBot="1" x14ac:dyDescent="0.25">
      <c r="C53" s="310">
        <v>18</v>
      </c>
      <c r="D53" s="308" t="str">
        <v>--</v>
      </c>
      <c r="E53" s="308" t="str">
        <v>--</v>
      </c>
      <c r="F53" s="308" t="str">
        <v>--</v>
      </c>
      <c r="G53" s="308" t="str">
        <v>--</v>
      </c>
      <c r="H53" s="308" t="str">
        <v>--</v>
      </c>
      <c r="I53" s="308" t="str">
        <v>--</v>
      </c>
      <c r="J53" s="308" t="str">
        <v>--</v>
      </c>
      <c r="K53" s="308" t="str">
        <v>--</v>
      </c>
      <c r="L53" s="308" t="str">
        <v>--</v>
      </c>
      <c r="M53" s="308" t="str">
        <v>--</v>
      </c>
      <c r="N53" s="308" t="str">
        <v>--</v>
      </c>
      <c r="O53" s="308" t="str">
        <v>--</v>
      </c>
      <c r="P53" s="308" t="str">
        <v>--</v>
      </c>
      <c r="Q53" s="308" t="str">
        <v>--</v>
      </c>
      <c r="R53" s="308" t="str">
        <v>--</v>
      </c>
      <c r="S53" s="308" t="str">
        <v>--</v>
      </c>
      <c r="T53" s="308" t="str">
        <v>--</v>
      </c>
      <c r="U53" s="308" t="str">
        <v>--</v>
      </c>
      <c r="V53" s="308" t="str">
        <v>--</v>
      </c>
      <c r="W53" s="308" t="str">
        <v>--</v>
      </c>
      <c r="X53" s="308" t="str">
        <v>--</v>
      </c>
      <c r="Y53" s="308" t="str">
        <v>--</v>
      </c>
      <c r="Z53" s="308" t="str">
        <v>--</v>
      </c>
      <c r="AA53" s="308" t="str">
        <v>--</v>
      </c>
      <c r="AB53" s="308" t="str">
        <v>--</v>
      </c>
      <c r="AC53" s="308" t="str">
        <v>--</v>
      </c>
      <c r="AD53" s="308" t="str">
        <v>--</v>
      </c>
      <c r="AE53" s="308" t="str">
        <v>--</v>
      </c>
      <c r="AF53" s="308" t="str">
        <v>--</v>
      </c>
      <c r="AG53" s="308" t="str">
        <v>--</v>
      </c>
      <c r="AH53" s="308" t="str">
        <v>--</v>
      </c>
      <c r="AI53" s="308" t="str">
        <v>--</v>
      </c>
      <c r="AJ53" s="308" t="str">
        <v>--</v>
      </c>
      <c r="AK53" s="308" t="str">
        <v>--</v>
      </c>
      <c r="AL53" s="308" t="str">
        <v>--</v>
      </c>
      <c r="AM53" s="308" t="str">
        <v>--</v>
      </c>
      <c r="AN53" s="308" t="str">
        <v>--</v>
      </c>
      <c r="AO53" s="308" t="str">
        <v>--</v>
      </c>
      <c r="AP53" s="308" t="str">
        <v>--</v>
      </c>
      <c r="AQ53" s="308" t="str">
        <v>--</v>
      </c>
      <c r="AR53" s="308" t="str">
        <v>--</v>
      </c>
      <c r="AS53" s="308" t="str">
        <v>--</v>
      </c>
      <c r="AT53" s="308" t="str">
        <v>--</v>
      </c>
      <c r="AU53" s="308" t="str">
        <v>--</v>
      </c>
      <c r="AV53" s="308" t="str">
        <v>--</v>
      </c>
      <c r="AW53" s="308" t="str">
        <v>--</v>
      </c>
      <c r="AX53" s="308" t="str">
        <v>--</v>
      </c>
      <c r="AY53" s="308" t="str">
        <v>--</v>
      </c>
      <c r="AZ53" s="311" t="str">
        <v>--</v>
      </c>
      <c r="BA53" s="312" t="str">
        <v>--</v>
      </c>
      <c r="BB53" s="313" t="str">
        <v>--</v>
      </c>
      <c r="BC53" s="314" t="str">
        <v>--</v>
      </c>
      <c r="BD53" s="308" t="str">
        <v>--</v>
      </c>
      <c r="BE53" s="308" t="str">
        <v>--</v>
      </c>
      <c r="BF53" s="308" t="str">
        <v>--</v>
      </c>
      <c r="BG53" s="308" t="str">
        <v>--</v>
      </c>
      <c r="BH53" s="308" t="str">
        <v>--</v>
      </c>
      <c r="BI53" s="308" t="str">
        <v>--</v>
      </c>
      <c r="BJ53" s="372"/>
      <c r="BK53" s="373"/>
    </row>
    <row r="54" spans="3:63" x14ac:dyDescent="0.2">
      <c r="C54" s="315">
        <v>17</v>
      </c>
      <c r="D54" s="309" t="str">
        <v>--</v>
      </c>
      <c r="E54" s="309" t="str">
        <v>--</v>
      </c>
      <c r="F54" s="309" t="str">
        <v>--</v>
      </c>
      <c r="G54" s="309" t="str">
        <v>--</v>
      </c>
      <c r="H54" s="309" t="str">
        <v>--</v>
      </c>
      <c r="I54" s="309" t="str">
        <v>--</v>
      </c>
      <c r="J54" s="309" t="str">
        <v>--</v>
      </c>
      <c r="K54" s="309" t="str">
        <v>--</v>
      </c>
      <c r="L54" s="309" t="str">
        <v>--</v>
      </c>
      <c r="M54" s="309" t="str">
        <v>--</v>
      </c>
      <c r="N54" s="309" t="str">
        <v>--</v>
      </c>
      <c r="O54" s="309" t="str">
        <v>--</v>
      </c>
      <c r="P54" s="309" t="str">
        <v>--</v>
      </c>
      <c r="Q54" s="309" t="str">
        <v>--</v>
      </c>
      <c r="R54" s="309" t="str">
        <v>--</v>
      </c>
      <c r="S54" s="309" t="str">
        <v>--</v>
      </c>
      <c r="T54" s="309" t="str">
        <v>--</v>
      </c>
      <c r="U54" s="309" t="str">
        <v>--</v>
      </c>
      <c r="V54" s="309" t="str">
        <v>--</v>
      </c>
      <c r="W54" s="309" t="str">
        <v>--</v>
      </c>
      <c r="X54" s="309" t="str">
        <v>--</v>
      </c>
      <c r="Y54" s="309" t="str">
        <v>--</v>
      </c>
      <c r="Z54" s="309" t="str">
        <v>--</v>
      </c>
      <c r="AA54" s="309" t="str">
        <v>--</v>
      </c>
      <c r="AB54" s="309" t="str">
        <v>--</v>
      </c>
      <c r="AC54" s="309" t="str">
        <v>--</v>
      </c>
      <c r="AD54" s="309" t="str">
        <v>--</v>
      </c>
      <c r="AE54" s="309" t="str">
        <v>--</v>
      </c>
      <c r="AF54" s="309" t="str">
        <v>--</v>
      </c>
      <c r="AG54" s="309" t="str">
        <v>--</v>
      </c>
      <c r="AH54" s="309" t="str">
        <v>--</v>
      </c>
      <c r="AI54" s="309" t="str">
        <v>--</v>
      </c>
      <c r="AJ54" s="309" t="str">
        <v>--</v>
      </c>
      <c r="AK54" s="309" t="str">
        <v>--</v>
      </c>
      <c r="AL54" s="309" t="str">
        <v>--</v>
      </c>
      <c r="AM54" s="309" t="str">
        <v>--</v>
      </c>
      <c r="AN54" s="309" t="str">
        <v>--</v>
      </c>
      <c r="AO54" s="309" t="str">
        <v>--</v>
      </c>
      <c r="AP54" s="309" t="str">
        <v>--</v>
      </c>
      <c r="AQ54" s="309" t="str">
        <v>--</v>
      </c>
      <c r="AR54" s="309" t="str">
        <v>--</v>
      </c>
      <c r="AS54" s="309" t="str">
        <v>--</v>
      </c>
      <c r="AT54" s="309" t="str">
        <v>--</v>
      </c>
      <c r="AU54" s="309" t="str">
        <v>--</v>
      </c>
      <c r="AV54" s="309" t="str">
        <v>--</v>
      </c>
      <c r="AW54" s="309" t="str">
        <v>--</v>
      </c>
      <c r="AX54" s="309" t="str">
        <v>--</v>
      </c>
      <c r="AY54" s="309" t="str">
        <v>--</v>
      </c>
      <c r="AZ54" s="316" t="str">
        <v>--</v>
      </c>
      <c r="BA54" s="317" t="str">
        <v>--</v>
      </c>
      <c r="BB54" s="318" t="str">
        <v>--</v>
      </c>
      <c r="BC54" s="319" t="str">
        <v>--</v>
      </c>
      <c r="BD54" s="309" t="str">
        <v>--</v>
      </c>
      <c r="BE54" s="309" t="str">
        <v>--</v>
      </c>
      <c r="BF54" s="309" t="str">
        <v>--</v>
      </c>
      <c r="BG54" s="309" t="str">
        <v>--</v>
      </c>
      <c r="BH54" s="309" t="str">
        <v>--</v>
      </c>
      <c r="BI54" s="309" t="str">
        <v>--</v>
      </c>
      <c r="BJ54" s="370" t="s">
        <v>104</v>
      </c>
      <c r="BK54" s="371"/>
    </row>
    <row r="55" spans="3:63" x14ac:dyDescent="0.2">
      <c r="C55" s="15">
        <v>16</v>
      </c>
      <c r="D55" s="16" t="str">
        <v>--</v>
      </c>
      <c r="E55" s="16" t="str">
        <v>--</v>
      </c>
      <c r="F55" s="16" t="str">
        <v>--</v>
      </c>
      <c r="G55" s="16" t="str">
        <v>--</v>
      </c>
      <c r="H55" s="16" t="str">
        <v>--</v>
      </c>
      <c r="I55" s="16" t="str">
        <v>--</v>
      </c>
      <c r="J55" s="16" t="str">
        <v>--</v>
      </c>
      <c r="K55" s="16" t="str">
        <v>--</v>
      </c>
      <c r="L55" s="16" t="str">
        <v>--</v>
      </c>
      <c r="M55" s="16" t="str">
        <v>--</v>
      </c>
      <c r="N55" s="16" t="str">
        <v>--</v>
      </c>
      <c r="O55" s="16" t="str">
        <v>--</v>
      </c>
      <c r="P55" s="16" t="str">
        <v>--</v>
      </c>
      <c r="Q55" s="16" t="str">
        <v>--</v>
      </c>
      <c r="R55" s="16" t="str">
        <v>--</v>
      </c>
      <c r="S55" s="16" t="str">
        <v>--</v>
      </c>
      <c r="T55" s="16" t="str">
        <v>--</v>
      </c>
      <c r="U55" s="16" t="str">
        <v>--</v>
      </c>
      <c r="V55" s="16" t="str">
        <v>--</v>
      </c>
      <c r="W55" s="16" t="str">
        <v>--</v>
      </c>
      <c r="X55" s="16" t="str">
        <v>--</v>
      </c>
      <c r="Y55" s="16" t="str">
        <v>--</v>
      </c>
      <c r="Z55" s="16" t="str">
        <v>--</v>
      </c>
      <c r="AA55" s="16" t="str">
        <v>--</v>
      </c>
      <c r="AB55" s="16" t="str">
        <v>--</v>
      </c>
      <c r="AC55" s="16" t="str">
        <v>--</v>
      </c>
      <c r="AD55" s="16" t="str">
        <v>--</v>
      </c>
      <c r="AE55" s="16" t="str">
        <v>--</v>
      </c>
      <c r="AF55" s="16" t="str">
        <v>--</v>
      </c>
      <c r="AG55" s="16" t="str">
        <v>--</v>
      </c>
      <c r="AH55" s="16" t="str">
        <v>--</v>
      </c>
      <c r="AI55" s="16" t="str">
        <v>--</v>
      </c>
      <c r="AJ55" s="16" t="str">
        <v>--</v>
      </c>
      <c r="AK55" s="16" t="str">
        <v>--</v>
      </c>
      <c r="AL55" s="16" t="str">
        <v>--</v>
      </c>
      <c r="AM55" s="16" t="str">
        <v>--</v>
      </c>
      <c r="AN55" s="16" t="str">
        <v>--</v>
      </c>
      <c r="AO55" s="16" t="str">
        <v>--</v>
      </c>
      <c r="AP55" s="16" t="str">
        <v>--</v>
      </c>
      <c r="AQ55" s="16" t="str">
        <v>--</v>
      </c>
      <c r="AR55" s="16" t="str">
        <v>--</v>
      </c>
      <c r="AS55" s="16" t="str">
        <v>--</v>
      </c>
      <c r="AT55" s="16" t="str">
        <v>--</v>
      </c>
      <c r="AU55" s="16" t="str">
        <v>--</v>
      </c>
      <c r="AV55" s="16" t="str">
        <v>--</v>
      </c>
      <c r="AW55" s="16" t="str">
        <v>--</v>
      </c>
      <c r="AX55" s="16" t="str">
        <v>--</v>
      </c>
      <c r="AY55" s="16" t="str">
        <v>--</v>
      </c>
      <c r="AZ55" s="17" t="str">
        <v>--</v>
      </c>
      <c r="BA55" s="18" t="str">
        <v>--</v>
      </c>
      <c r="BB55" s="19" t="str">
        <v>--</v>
      </c>
      <c r="BC55" s="20" t="str">
        <v>--</v>
      </c>
      <c r="BD55" s="16" t="str">
        <v>--</v>
      </c>
      <c r="BE55" s="16" t="str">
        <v>--</v>
      </c>
      <c r="BF55" s="16" t="str">
        <v>--</v>
      </c>
      <c r="BG55" s="16" t="str">
        <v>--</v>
      </c>
      <c r="BH55" s="16" t="str">
        <v>--</v>
      </c>
      <c r="BI55" s="16" t="str">
        <v>--</v>
      </c>
      <c r="BJ55" s="372"/>
      <c r="BK55" s="373"/>
    </row>
    <row r="56" spans="3:63" x14ac:dyDescent="0.2">
      <c r="C56" s="15">
        <v>15</v>
      </c>
      <c r="D56" s="16" t="str">
        <v>--</v>
      </c>
      <c r="E56" s="16" t="str">
        <v>--</v>
      </c>
      <c r="F56" s="16" t="str">
        <v>--</v>
      </c>
      <c r="G56" s="16" t="str">
        <v>--</v>
      </c>
      <c r="H56" s="16" t="str">
        <v>--</v>
      </c>
      <c r="I56" s="16" t="str">
        <v>--</v>
      </c>
      <c r="J56" s="16" t="str">
        <v>--</v>
      </c>
      <c r="K56" s="16" t="str">
        <v>--</v>
      </c>
      <c r="L56" s="16" t="str">
        <v>--</v>
      </c>
      <c r="M56" s="16" t="str">
        <v>--</v>
      </c>
      <c r="N56" s="16" t="str">
        <v>--</v>
      </c>
      <c r="O56" s="16" t="str">
        <v>--</v>
      </c>
      <c r="P56" s="16" t="str">
        <v>--</v>
      </c>
      <c r="Q56" s="16" t="str">
        <v>--</v>
      </c>
      <c r="R56" s="16" t="str">
        <v>--</v>
      </c>
      <c r="S56" s="16" t="str">
        <v>--</v>
      </c>
      <c r="T56" s="16" t="str">
        <v>--</v>
      </c>
      <c r="U56" s="16" t="str">
        <v>--</v>
      </c>
      <c r="V56" s="16" t="str">
        <v>--</v>
      </c>
      <c r="W56" s="16" t="str">
        <v>--</v>
      </c>
      <c r="X56" s="16" t="str">
        <v>--</v>
      </c>
      <c r="Y56" s="16" t="str">
        <v>--</v>
      </c>
      <c r="Z56" s="16" t="str">
        <v>--</v>
      </c>
      <c r="AA56" s="16" t="str">
        <v>--</v>
      </c>
      <c r="AB56" s="16" t="str">
        <v>--</v>
      </c>
      <c r="AC56" s="16" t="str">
        <v>--</v>
      </c>
      <c r="AD56" s="16" t="str">
        <v>--</v>
      </c>
      <c r="AE56" s="16" t="str">
        <v>--</v>
      </c>
      <c r="AF56" s="16" t="str">
        <v>--</v>
      </c>
      <c r="AG56" s="16" t="str">
        <v>--</v>
      </c>
      <c r="AH56" s="16" t="str">
        <v>--</v>
      </c>
      <c r="AI56" s="16" t="str">
        <v>--</v>
      </c>
      <c r="AJ56" s="16" t="str">
        <v>--</v>
      </c>
      <c r="AK56" s="16" t="str">
        <v>--</v>
      </c>
      <c r="AL56" s="16" t="str">
        <v>--</v>
      </c>
      <c r="AM56" s="16" t="str">
        <v>--</v>
      </c>
      <c r="AN56" s="16" t="str">
        <v>--</v>
      </c>
      <c r="AO56" s="16" t="str">
        <v>--</v>
      </c>
      <c r="AP56" s="16" t="str">
        <v>--</v>
      </c>
      <c r="AQ56" s="16" t="str">
        <v>--</v>
      </c>
      <c r="AR56" s="16" t="str">
        <v>--</v>
      </c>
      <c r="AS56" s="16" t="str">
        <v>--</v>
      </c>
      <c r="AT56" s="16" t="str">
        <v>--</v>
      </c>
      <c r="AU56" s="16" t="str">
        <v>--</v>
      </c>
      <c r="AV56" s="16" t="str">
        <v>--</v>
      </c>
      <c r="AW56" s="16" t="str">
        <v>--</v>
      </c>
      <c r="AX56" s="16" t="str">
        <v>--</v>
      </c>
      <c r="AY56" s="16" t="str">
        <v>--</v>
      </c>
      <c r="AZ56" s="17" t="str">
        <v>--</v>
      </c>
      <c r="BA56" s="18" t="str">
        <v>--</v>
      </c>
      <c r="BB56" s="19" t="str">
        <v>--</v>
      </c>
      <c r="BC56" s="20" t="str">
        <v>--</v>
      </c>
      <c r="BD56" s="16" t="str">
        <v>--</v>
      </c>
      <c r="BE56" s="16" t="str">
        <v>--</v>
      </c>
      <c r="BF56" s="16" t="str">
        <v>--</v>
      </c>
      <c r="BG56" s="16" t="str">
        <v>--</v>
      </c>
      <c r="BH56" s="16" t="str">
        <v>--</v>
      </c>
      <c r="BI56" s="16" t="str">
        <v>--</v>
      </c>
      <c r="BJ56" s="372"/>
      <c r="BK56" s="373"/>
    </row>
    <row r="57" spans="3:63" x14ac:dyDescent="0.2">
      <c r="C57" s="15">
        <v>14</v>
      </c>
      <c r="D57" s="16" t="str">
        <v>--</v>
      </c>
      <c r="E57" s="16" t="str">
        <v>--</v>
      </c>
      <c r="F57" s="16" t="str">
        <v>--</v>
      </c>
      <c r="G57" s="16" t="str">
        <v>--</v>
      </c>
      <c r="H57" s="16" t="str">
        <v>--</v>
      </c>
      <c r="I57" s="16" t="str">
        <v>--</v>
      </c>
      <c r="J57" s="16" t="str">
        <v>--</v>
      </c>
      <c r="K57" s="16" t="str">
        <v>--</v>
      </c>
      <c r="L57" s="16" t="str">
        <v>--</v>
      </c>
      <c r="M57" s="16" t="str">
        <v>--</v>
      </c>
      <c r="N57" s="16" t="str">
        <v>--</v>
      </c>
      <c r="O57" s="16" t="str">
        <v>--</v>
      </c>
      <c r="P57" s="16" t="str">
        <v>--</v>
      </c>
      <c r="Q57" s="16" t="str">
        <v>--</v>
      </c>
      <c r="R57" s="16" t="str">
        <v>--</v>
      </c>
      <c r="S57" s="16" t="str">
        <v>--</v>
      </c>
      <c r="T57" s="16" t="str">
        <v>--</v>
      </c>
      <c r="U57" s="16" t="str">
        <v>--</v>
      </c>
      <c r="V57" s="16" t="str">
        <v>--</v>
      </c>
      <c r="W57" s="16" t="str">
        <v>--</v>
      </c>
      <c r="X57" s="16" t="str">
        <v>--</v>
      </c>
      <c r="Y57" s="16" t="str">
        <v>--</v>
      </c>
      <c r="Z57" s="16" t="str">
        <v>--</v>
      </c>
      <c r="AA57" s="16" t="str">
        <v>--</v>
      </c>
      <c r="AB57" s="16" t="str">
        <v>--</v>
      </c>
      <c r="AC57" s="16" t="str">
        <v>--</v>
      </c>
      <c r="AD57" s="16" t="str">
        <v>--</v>
      </c>
      <c r="AE57" s="16" t="str">
        <v>--</v>
      </c>
      <c r="AF57" s="16" t="str">
        <v>--</v>
      </c>
      <c r="AG57" s="16" t="str">
        <v>--</v>
      </c>
      <c r="AH57" s="16" t="str">
        <v>--</v>
      </c>
      <c r="AI57" s="16" t="str">
        <v>--</v>
      </c>
      <c r="AJ57" s="16" t="str">
        <v>--</v>
      </c>
      <c r="AK57" s="16" t="str">
        <v>--</v>
      </c>
      <c r="AL57" s="16" t="str">
        <v>--</v>
      </c>
      <c r="AM57" s="16" t="str">
        <v>--</v>
      </c>
      <c r="AN57" s="16" t="str">
        <v>--</v>
      </c>
      <c r="AO57" s="16" t="str">
        <v>--</v>
      </c>
      <c r="AP57" s="16" t="str">
        <v>--</v>
      </c>
      <c r="AQ57" s="16" t="str">
        <v>--</v>
      </c>
      <c r="AR57" s="16" t="str">
        <v>--</v>
      </c>
      <c r="AS57" s="16" t="str">
        <v>--</v>
      </c>
      <c r="AT57" s="16" t="str">
        <v>--</v>
      </c>
      <c r="AU57" s="16" t="str">
        <v>--</v>
      </c>
      <c r="AV57" s="16" t="str">
        <v>--</v>
      </c>
      <c r="AW57" s="16" t="str">
        <v>--</v>
      </c>
      <c r="AX57" s="16" t="str">
        <v>--</v>
      </c>
      <c r="AY57" s="16" t="str">
        <v>--</v>
      </c>
      <c r="AZ57" s="17" t="str">
        <v>--</v>
      </c>
      <c r="BA57" s="18" t="str">
        <v>--</v>
      </c>
      <c r="BB57" s="19" t="str">
        <v>--</v>
      </c>
      <c r="BC57" s="20" t="str">
        <v>--</v>
      </c>
      <c r="BD57" s="16" t="str">
        <v>--</v>
      </c>
      <c r="BE57" s="16" t="str">
        <v>--</v>
      </c>
      <c r="BF57" s="16" t="str">
        <v>--</v>
      </c>
      <c r="BG57" s="16" t="str">
        <v>--</v>
      </c>
      <c r="BH57" s="16" t="str">
        <v>--</v>
      </c>
      <c r="BI57" s="16" t="str">
        <v>--</v>
      </c>
      <c r="BJ57" s="372"/>
      <c r="BK57" s="373"/>
    </row>
    <row r="58" spans="3:63" x14ac:dyDescent="0.2">
      <c r="C58" s="15">
        <v>13</v>
      </c>
      <c r="D58" s="16" t="str">
        <v>--</v>
      </c>
      <c r="E58" s="16" t="str">
        <v>--</v>
      </c>
      <c r="F58" s="16" t="str">
        <v>--</v>
      </c>
      <c r="G58" s="16" t="str">
        <v>--</v>
      </c>
      <c r="H58" s="16" t="str">
        <v>--</v>
      </c>
      <c r="I58" s="16" t="str">
        <v>--</v>
      </c>
      <c r="J58" s="16" t="str">
        <v>--</v>
      </c>
      <c r="K58" s="16" t="str">
        <v>--</v>
      </c>
      <c r="L58" s="16" t="str">
        <v>--</v>
      </c>
      <c r="M58" s="16" t="str">
        <v>--</v>
      </c>
      <c r="N58" s="16" t="str">
        <v>--</v>
      </c>
      <c r="O58" s="16" t="str">
        <v>--</v>
      </c>
      <c r="P58" s="16" t="str">
        <v>--</v>
      </c>
      <c r="Q58" s="16" t="str">
        <v>--</v>
      </c>
      <c r="R58" s="16" t="str">
        <v>--</v>
      </c>
      <c r="S58" s="16" t="str">
        <v>--</v>
      </c>
      <c r="T58" s="16" t="str">
        <v>--</v>
      </c>
      <c r="U58" s="16" t="str">
        <v>--</v>
      </c>
      <c r="V58" s="16" t="str">
        <v>--</v>
      </c>
      <c r="W58" s="16" t="str">
        <v>--</v>
      </c>
      <c r="X58" s="16" t="str">
        <v>--</v>
      </c>
      <c r="Y58" s="16" t="str">
        <v>--</v>
      </c>
      <c r="Z58" s="16" t="str">
        <v>--</v>
      </c>
      <c r="AA58" s="16" t="str">
        <v>--</v>
      </c>
      <c r="AB58" s="16" t="str">
        <v>--</v>
      </c>
      <c r="AC58" s="16" t="str">
        <v>--</v>
      </c>
      <c r="AD58" s="16" t="str">
        <v>--</v>
      </c>
      <c r="AE58" s="16" t="str">
        <v>--</v>
      </c>
      <c r="AF58" s="16" t="str">
        <v>--</v>
      </c>
      <c r="AG58" s="16" t="str">
        <v>--</v>
      </c>
      <c r="AH58" s="16" t="str">
        <v>--</v>
      </c>
      <c r="AI58" s="16" t="str">
        <v>--</v>
      </c>
      <c r="AJ58" s="16" t="str">
        <v>--</v>
      </c>
      <c r="AK58" s="16" t="str">
        <v>--</v>
      </c>
      <c r="AL58" s="16" t="str">
        <v>--</v>
      </c>
      <c r="AM58" s="16" t="str">
        <v>--</v>
      </c>
      <c r="AN58" s="16" t="str">
        <v>--</v>
      </c>
      <c r="AO58" s="16" t="str">
        <v>--</v>
      </c>
      <c r="AP58" s="16" t="str">
        <v>--</v>
      </c>
      <c r="AQ58" s="16" t="str">
        <v>--</v>
      </c>
      <c r="AR58" s="16" t="str">
        <v>--</v>
      </c>
      <c r="AS58" s="16" t="str">
        <v>--</v>
      </c>
      <c r="AT58" s="16" t="str">
        <v>--</v>
      </c>
      <c r="AU58" s="16" t="str">
        <v>--</v>
      </c>
      <c r="AV58" s="16" t="str">
        <v>--</v>
      </c>
      <c r="AW58" s="16" t="str">
        <v>--</v>
      </c>
      <c r="AX58" s="16" t="str">
        <v>--</v>
      </c>
      <c r="AY58" s="16" t="str">
        <v>--</v>
      </c>
      <c r="AZ58" s="17" t="str">
        <v>--</v>
      </c>
      <c r="BA58" s="18" t="str">
        <v>--</v>
      </c>
      <c r="BB58" s="19" t="str">
        <v>--</v>
      </c>
      <c r="BC58" s="20" t="str">
        <v>--</v>
      </c>
      <c r="BD58" s="16" t="str">
        <v>--</v>
      </c>
      <c r="BE58" s="16" t="str">
        <v>--</v>
      </c>
      <c r="BF58" s="16" t="str">
        <v>--</v>
      </c>
      <c r="BG58" s="16" t="str">
        <v>--</v>
      </c>
      <c r="BH58" s="16" t="str">
        <v>--</v>
      </c>
      <c r="BI58" s="16" t="str">
        <v>--</v>
      </c>
      <c r="BJ58" s="372"/>
      <c r="BK58" s="373"/>
    </row>
    <row r="59" spans="3:63" ht="14.25" customHeight="1" x14ac:dyDescent="0.2">
      <c r="C59" s="15">
        <v>12</v>
      </c>
      <c r="D59" s="16">
        <v>29</v>
      </c>
      <c r="E59" s="16">
        <v>29</v>
      </c>
      <c r="F59" s="16">
        <v>29</v>
      </c>
      <c r="G59" s="16">
        <v>29</v>
      </c>
      <c r="H59" s="16">
        <v>29</v>
      </c>
      <c r="I59" s="16">
        <v>29</v>
      </c>
      <c r="J59" s="16">
        <v>29</v>
      </c>
      <c r="K59" s="16">
        <v>29</v>
      </c>
      <c r="L59" s="16">
        <v>29</v>
      </c>
      <c r="M59" s="16">
        <v>29</v>
      </c>
      <c r="N59" s="16">
        <v>29</v>
      </c>
      <c r="O59" s="16">
        <v>30</v>
      </c>
      <c r="P59" s="16">
        <v>30</v>
      </c>
      <c r="Q59" s="16">
        <v>30</v>
      </c>
      <c r="R59" s="16">
        <v>30</v>
      </c>
      <c r="S59" s="16">
        <v>30</v>
      </c>
      <c r="T59" s="16">
        <v>30</v>
      </c>
      <c r="U59" s="16">
        <v>30</v>
      </c>
      <c r="V59" s="16">
        <v>30</v>
      </c>
      <c r="W59" s="16">
        <v>30</v>
      </c>
      <c r="X59" s="16">
        <v>30</v>
      </c>
      <c r="Y59" s="16">
        <v>30</v>
      </c>
      <c r="Z59" s="16">
        <v>30</v>
      </c>
      <c r="AA59" s="16">
        <v>30</v>
      </c>
      <c r="AB59" s="16">
        <v>30</v>
      </c>
      <c r="AC59" s="16">
        <v>30</v>
      </c>
      <c r="AD59" s="16">
        <v>30</v>
      </c>
      <c r="AE59" s="16">
        <v>30</v>
      </c>
      <c r="AF59" s="16">
        <v>30</v>
      </c>
      <c r="AG59" s="16">
        <v>31</v>
      </c>
      <c r="AH59" s="16">
        <v>31</v>
      </c>
      <c r="AI59" s="16">
        <v>31</v>
      </c>
      <c r="AJ59" s="16">
        <v>31</v>
      </c>
      <c r="AK59" s="16">
        <v>31</v>
      </c>
      <c r="AL59" s="16">
        <v>31</v>
      </c>
      <c r="AM59" s="16">
        <v>31</v>
      </c>
      <c r="AN59" s="16">
        <v>31</v>
      </c>
      <c r="AO59" s="16">
        <v>31</v>
      </c>
      <c r="AP59" s="16">
        <v>31</v>
      </c>
      <c r="AQ59" s="16">
        <v>31</v>
      </c>
      <c r="AR59" s="16">
        <v>31</v>
      </c>
      <c r="AS59" s="16">
        <v>31</v>
      </c>
      <c r="AT59" s="16">
        <v>31</v>
      </c>
      <c r="AU59" s="16">
        <v>31</v>
      </c>
      <c r="AV59" s="16">
        <v>31</v>
      </c>
      <c r="AW59" s="16">
        <v>31</v>
      </c>
      <c r="AX59" s="16">
        <v>31</v>
      </c>
      <c r="AY59" s="16">
        <v>32</v>
      </c>
      <c r="AZ59" s="17">
        <v>32</v>
      </c>
      <c r="BA59" s="18" t="str">
        <v>H2</v>
      </c>
      <c r="BB59" s="19" t="str">
        <v>H2</v>
      </c>
      <c r="BC59" s="20">
        <v>32</v>
      </c>
      <c r="BD59" s="16">
        <v>32</v>
      </c>
      <c r="BE59" s="16">
        <v>32</v>
      </c>
      <c r="BF59" s="16">
        <v>32</v>
      </c>
      <c r="BG59" s="16">
        <v>32</v>
      </c>
      <c r="BH59" s="16">
        <v>32</v>
      </c>
      <c r="BI59" s="16">
        <v>32</v>
      </c>
      <c r="BJ59" s="372"/>
      <c r="BK59" s="373"/>
    </row>
    <row r="60" spans="3:63" ht="14.25" customHeight="1" thickBot="1" x14ac:dyDescent="0.25">
      <c r="C60" s="22">
        <v>11</v>
      </c>
      <c r="D60" s="23">
        <v>26</v>
      </c>
      <c r="E60" s="23">
        <v>26</v>
      </c>
      <c r="F60" s="23">
        <v>26</v>
      </c>
      <c r="G60" s="23">
        <v>26</v>
      </c>
      <c r="H60" s="23">
        <v>26</v>
      </c>
      <c r="I60" s="23">
        <v>26</v>
      </c>
      <c r="J60" s="23">
        <v>26</v>
      </c>
      <c r="K60" s="23">
        <v>26</v>
      </c>
      <c r="L60" s="23">
        <v>26</v>
      </c>
      <c r="M60" s="23">
        <v>26</v>
      </c>
      <c r="N60" s="23">
        <v>26</v>
      </c>
      <c r="O60" s="23">
        <v>26</v>
      </c>
      <c r="P60" s="23">
        <v>26</v>
      </c>
      <c r="Q60" s="23">
        <v>26</v>
      </c>
      <c r="R60" s="23">
        <v>26</v>
      </c>
      <c r="S60" s="23">
        <v>27</v>
      </c>
      <c r="T60" s="23">
        <v>27</v>
      </c>
      <c r="U60" s="23">
        <v>27</v>
      </c>
      <c r="V60" s="23">
        <v>27</v>
      </c>
      <c r="W60" s="23">
        <v>27</v>
      </c>
      <c r="X60" s="23">
        <v>27</v>
      </c>
      <c r="Y60" s="23">
        <v>27</v>
      </c>
      <c r="Z60" s="23">
        <v>27</v>
      </c>
      <c r="AA60" s="23">
        <v>27</v>
      </c>
      <c r="AB60" s="23">
        <v>27</v>
      </c>
      <c r="AC60" s="23">
        <v>27</v>
      </c>
      <c r="AD60" s="23">
        <v>27</v>
      </c>
      <c r="AE60" s="23">
        <v>27</v>
      </c>
      <c r="AF60" s="23">
        <v>27</v>
      </c>
      <c r="AG60" s="23">
        <v>27</v>
      </c>
      <c r="AH60" s="23">
        <v>27</v>
      </c>
      <c r="AI60" s="23">
        <v>27</v>
      </c>
      <c r="AJ60" s="23">
        <v>27</v>
      </c>
      <c r="AK60" s="23">
        <v>28</v>
      </c>
      <c r="AL60" s="23">
        <v>28</v>
      </c>
      <c r="AM60" s="23">
        <v>28</v>
      </c>
      <c r="AN60" s="23">
        <v>28</v>
      </c>
      <c r="AO60" s="23">
        <v>28</v>
      </c>
      <c r="AP60" s="23">
        <v>28</v>
      </c>
      <c r="AQ60" s="23">
        <v>28</v>
      </c>
      <c r="AR60" s="23">
        <v>28</v>
      </c>
      <c r="AS60" s="23">
        <v>28</v>
      </c>
      <c r="AT60" s="23">
        <v>28</v>
      </c>
      <c r="AU60" s="23">
        <v>28</v>
      </c>
      <c r="AV60" s="23">
        <v>28</v>
      </c>
      <c r="AW60" s="23">
        <v>28</v>
      </c>
      <c r="AX60" s="23">
        <v>28</v>
      </c>
      <c r="AY60" s="23">
        <v>28</v>
      </c>
      <c r="AZ60" s="24">
        <v>28</v>
      </c>
      <c r="BA60" s="25" t="str">
        <v>H2</v>
      </c>
      <c r="BB60" s="26" t="str">
        <v>H2</v>
      </c>
      <c r="BC60" s="27">
        <v>29</v>
      </c>
      <c r="BD60" s="23">
        <v>29</v>
      </c>
      <c r="BE60" s="23">
        <v>29</v>
      </c>
      <c r="BF60" s="23">
        <v>29</v>
      </c>
      <c r="BG60" s="23">
        <v>29</v>
      </c>
      <c r="BH60" s="23">
        <v>29</v>
      </c>
      <c r="BI60" s="23">
        <v>29</v>
      </c>
      <c r="BJ60" s="372"/>
      <c r="BK60" s="373"/>
    </row>
    <row r="61" spans="3:63" ht="14.25" customHeight="1" x14ac:dyDescent="0.2">
      <c r="C61" s="28">
        <v>10</v>
      </c>
      <c r="D61" s="29">
        <v>22</v>
      </c>
      <c r="E61" s="29">
        <v>23</v>
      </c>
      <c r="F61" s="29">
        <v>23</v>
      </c>
      <c r="G61" s="29">
        <v>23</v>
      </c>
      <c r="H61" s="29">
        <v>23</v>
      </c>
      <c r="I61" s="29">
        <v>23</v>
      </c>
      <c r="J61" s="29">
        <v>23</v>
      </c>
      <c r="K61" s="29">
        <v>23</v>
      </c>
      <c r="L61" s="29">
        <v>23</v>
      </c>
      <c r="M61" s="29">
        <v>23</v>
      </c>
      <c r="N61" s="29">
        <v>23</v>
      </c>
      <c r="O61" s="29">
        <v>23</v>
      </c>
      <c r="P61" s="29">
        <v>23</v>
      </c>
      <c r="Q61" s="29">
        <v>23</v>
      </c>
      <c r="R61" s="29">
        <v>23</v>
      </c>
      <c r="S61" s="29">
        <v>23</v>
      </c>
      <c r="T61" s="29">
        <v>23</v>
      </c>
      <c r="U61" s="29">
        <v>23</v>
      </c>
      <c r="V61" s="29">
        <v>23</v>
      </c>
      <c r="W61" s="29">
        <v>24</v>
      </c>
      <c r="X61" s="29">
        <v>24</v>
      </c>
      <c r="Y61" s="29">
        <v>24</v>
      </c>
      <c r="Z61" s="29">
        <v>24</v>
      </c>
      <c r="AA61" s="29">
        <v>24</v>
      </c>
      <c r="AB61" s="29">
        <v>24</v>
      </c>
      <c r="AC61" s="29">
        <v>24</v>
      </c>
      <c r="AD61" s="29">
        <v>24</v>
      </c>
      <c r="AE61" s="29">
        <v>24</v>
      </c>
      <c r="AF61" s="29">
        <v>24</v>
      </c>
      <c r="AG61" s="29">
        <v>24</v>
      </c>
      <c r="AH61" s="29">
        <v>24</v>
      </c>
      <c r="AI61" s="29">
        <v>24</v>
      </c>
      <c r="AJ61" s="29">
        <v>24</v>
      </c>
      <c r="AK61" s="29">
        <v>24</v>
      </c>
      <c r="AL61" s="29">
        <v>24</v>
      </c>
      <c r="AM61" s="29">
        <v>24</v>
      </c>
      <c r="AN61" s="29">
        <v>24</v>
      </c>
      <c r="AO61" s="29">
        <v>25</v>
      </c>
      <c r="AP61" s="29">
        <v>25</v>
      </c>
      <c r="AQ61" s="29">
        <v>25</v>
      </c>
      <c r="AR61" s="29">
        <v>25</v>
      </c>
      <c r="AS61" s="29">
        <v>25</v>
      </c>
      <c r="AT61" s="29">
        <v>25</v>
      </c>
      <c r="AU61" s="29">
        <v>25</v>
      </c>
      <c r="AV61" s="29">
        <v>25</v>
      </c>
      <c r="AW61" s="29">
        <v>25</v>
      </c>
      <c r="AX61" s="29">
        <v>25</v>
      </c>
      <c r="AY61" s="29">
        <v>25</v>
      </c>
      <c r="AZ61" s="30">
        <v>25</v>
      </c>
      <c r="BA61" s="31" t="str">
        <v>H1</v>
      </c>
      <c r="BB61" s="32" t="str">
        <v>H1</v>
      </c>
      <c r="BC61" s="33">
        <v>25</v>
      </c>
      <c r="BD61" s="29">
        <v>25</v>
      </c>
      <c r="BE61" s="29">
        <v>25</v>
      </c>
      <c r="BF61" s="29">
        <v>25</v>
      </c>
      <c r="BG61" s="29">
        <v>26</v>
      </c>
      <c r="BH61" s="29">
        <v>26</v>
      </c>
      <c r="BI61" s="29">
        <v>26</v>
      </c>
      <c r="BJ61" s="370" t="s">
        <v>15</v>
      </c>
      <c r="BK61" s="371"/>
    </row>
    <row r="62" spans="3:63" ht="14.25" customHeight="1" x14ac:dyDescent="0.2">
      <c r="C62" s="15">
        <v>9</v>
      </c>
      <c r="D62" s="16">
        <v>19</v>
      </c>
      <c r="E62" s="16">
        <v>19</v>
      </c>
      <c r="F62" s="16">
        <v>19</v>
      </c>
      <c r="G62" s="16">
        <v>19</v>
      </c>
      <c r="H62" s="16">
        <v>19</v>
      </c>
      <c r="I62" s="16">
        <v>20</v>
      </c>
      <c r="J62" s="16">
        <v>20</v>
      </c>
      <c r="K62" s="16">
        <v>20</v>
      </c>
      <c r="L62" s="16">
        <v>20</v>
      </c>
      <c r="M62" s="16">
        <v>20</v>
      </c>
      <c r="N62" s="16">
        <v>20</v>
      </c>
      <c r="O62" s="16">
        <v>20</v>
      </c>
      <c r="P62" s="16">
        <v>20</v>
      </c>
      <c r="Q62" s="16">
        <v>20</v>
      </c>
      <c r="R62" s="16">
        <v>20</v>
      </c>
      <c r="S62" s="16">
        <v>20</v>
      </c>
      <c r="T62" s="16">
        <v>20</v>
      </c>
      <c r="U62" s="16">
        <v>20</v>
      </c>
      <c r="V62" s="16">
        <v>20</v>
      </c>
      <c r="W62" s="16">
        <v>20</v>
      </c>
      <c r="X62" s="16">
        <v>20</v>
      </c>
      <c r="Y62" s="16">
        <v>20</v>
      </c>
      <c r="Z62" s="16">
        <v>20</v>
      </c>
      <c r="AA62" s="16">
        <v>21</v>
      </c>
      <c r="AB62" s="16">
        <v>21</v>
      </c>
      <c r="AC62" s="16">
        <v>21</v>
      </c>
      <c r="AD62" s="16">
        <v>21</v>
      </c>
      <c r="AE62" s="16">
        <v>21</v>
      </c>
      <c r="AF62" s="16">
        <v>21</v>
      </c>
      <c r="AG62" s="16">
        <v>21</v>
      </c>
      <c r="AH62" s="16">
        <v>21</v>
      </c>
      <c r="AI62" s="16">
        <v>21</v>
      </c>
      <c r="AJ62" s="16">
        <v>21</v>
      </c>
      <c r="AK62" s="16">
        <v>21</v>
      </c>
      <c r="AL62" s="16">
        <v>21</v>
      </c>
      <c r="AM62" s="16">
        <v>21</v>
      </c>
      <c r="AN62" s="16">
        <v>21</v>
      </c>
      <c r="AO62" s="16">
        <v>21</v>
      </c>
      <c r="AP62" s="16">
        <v>21</v>
      </c>
      <c r="AQ62" s="16">
        <v>21</v>
      </c>
      <c r="AR62" s="16">
        <v>21</v>
      </c>
      <c r="AS62" s="16">
        <v>22</v>
      </c>
      <c r="AT62" s="16">
        <v>22</v>
      </c>
      <c r="AU62" s="16">
        <v>22</v>
      </c>
      <c r="AV62" s="16">
        <v>22</v>
      </c>
      <c r="AW62" s="16">
        <v>22</v>
      </c>
      <c r="AX62" s="16">
        <v>22</v>
      </c>
      <c r="AY62" s="16">
        <v>22</v>
      </c>
      <c r="AZ62" s="17">
        <v>22</v>
      </c>
      <c r="BA62" s="18" t="str">
        <v>H1</v>
      </c>
      <c r="BB62" s="19" t="str">
        <v>H1</v>
      </c>
      <c r="BC62" s="20">
        <v>22</v>
      </c>
      <c r="BD62" s="16">
        <v>22</v>
      </c>
      <c r="BE62" s="16">
        <v>22</v>
      </c>
      <c r="BF62" s="16">
        <v>22</v>
      </c>
      <c r="BG62" s="16">
        <v>22</v>
      </c>
      <c r="BH62" s="16">
        <v>22</v>
      </c>
      <c r="BI62" s="16">
        <v>22</v>
      </c>
      <c r="BJ62" s="372"/>
      <c r="BK62" s="373"/>
    </row>
    <row r="63" spans="3:63" ht="14.25" customHeight="1" x14ac:dyDescent="0.2">
      <c r="C63" s="15">
        <v>8</v>
      </c>
      <c r="D63" s="16">
        <v>16</v>
      </c>
      <c r="E63" s="16">
        <v>16</v>
      </c>
      <c r="F63" s="16">
        <v>16</v>
      </c>
      <c r="G63" s="16">
        <v>16</v>
      </c>
      <c r="H63" s="16">
        <v>16</v>
      </c>
      <c r="I63" s="16">
        <v>16</v>
      </c>
      <c r="J63" s="16">
        <v>16</v>
      </c>
      <c r="K63" s="16">
        <v>16</v>
      </c>
      <c r="L63" s="16">
        <v>16</v>
      </c>
      <c r="M63" s="16">
        <v>17</v>
      </c>
      <c r="N63" s="16">
        <v>17</v>
      </c>
      <c r="O63" s="16">
        <v>17</v>
      </c>
      <c r="P63" s="16">
        <v>17</v>
      </c>
      <c r="Q63" s="16">
        <v>17</v>
      </c>
      <c r="R63" s="16">
        <v>17</v>
      </c>
      <c r="S63" s="16">
        <v>17</v>
      </c>
      <c r="T63" s="16">
        <v>17</v>
      </c>
      <c r="U63" s="16">
        <v>17</v>
      </c>
      <c r="V63" s="16">
        <v>17</v>
      </c>
      <c r="W63" s="16">
        <v>17</v>
      </c>
      <c r="X63" s="16">
        <v>17</v>
      </c>
      <c r="Y63" s="16">
        <v>17</v>
      </c>
      <c r="Z63" s="16">
        <v>17</v>
      </c>
      <c r="AA63" s="16">
        <v>17</v>
      </c>
      <c r="AB63" s="16">
        <v>17</v>
      </c>
      <c r="AC63" s="16">
        <v>17</v>
      </c>
      <c r="AD63" s="16">
        <v>17</v>
      </c>
      <c r="AE63" s="16">
        <v>18</v>
      </c>
      <c r="AF63" s="16">
        <v>18</v>
      </c>
      <c r="AG63" s="16">
        <v>18</v>
      </c>
      <c r="AH63" s="16">
        <v>18</v>
      </c>
      <c r="AI63" s="16">
        <v>18</v>
      </c>
      <c r="AJ63" s="16">
        <v>18</v>
      </c>
      <c r="AK63" s="16">
        <v>18</v>
      </c>
      <c r="AL63" s="16">
        <v>18</v>
      </c>
      <c r="AM63" s="16">
        <v>18</v>
      </c>
      <c r="AN63" s="16">
        <v>18</v>
      </c>
      <c r="AO63" s="16">
        <v>18</v>
      </c>
      <c r="AP63" s="16">
        <v>18</v>
      </c>
      <c r="AQ63" s="16">
        <v>18</v>
      </c>
      <c r="AR63" s="16">
        <v>18</v>
      </c>
      <c r="AS63" s="16">
        <v>18</v>
      </c>
      <c r="AT63" s="16">
        <v>18</v>
      </c>
      <c r="AU63" s="16">
        <v>18</v>
      </c>
      <c r="AV63" s="16">
        <v>18</v>
      </c>
      <c r="AW63" s="16">
        <v>19</v>
      </c>
      <c r="AX63" s="16">
        <v>19</v>
      </c>
      <c r="AY63" s="16">
        <v>19</v>
      </c>
      <c r="AZ63" s="17">
        <v>19</v>
      </c>
      <c r="BA63" s="18" t="str">
        <v>H1</v>
      </c>
      <c r="BB63" s="19" t="str">
        <v>H1</v>
      </c>
      <c r="BC63" s="20">
        <v>19</v>
      </c>
      <c r="BD63" s="16">
        <v>19</v>
      </c>
      <c r="BE63" s="16">
        <v>19</v>
      </c>
      <c r="BF63" s="16">
        <v>19</v>
      </c>
      <c r="BG63" s="16">
        <v>19</v>
      </c>
      <c r="BH63" s="16">
        <v>19</v>
      </c>
      <c r="BI63" s="16">
        <v>19</v>
      </c>
      <c r="BJ63" s="372"/>
      <c r="BK63" s="373"/>
    </row>
    <row r="64" spans="3:63" ht="14.25" customHeight="1" x14ac:dyDescent="0.2">
      <c r="C64" s="15">
        <v>7</v>
      </c>
      <c r="D64" s="16">
        <v>13</v>
      </c>
      <c r="E64" s="16">
        <v>13</v>
      </c>
      <c r="F64" s="16">
        <v>13</v>
      </c>
      <c r="G64" s="16">
        <v>13</v>
      </c>
      <c r="H64" s="16">
        <v>13</v>
      </c>
      <c r="I64" s="16">
        <v>13</v>
      </c>
      <c r="J64" s="16">
        <v>13</v>
      </c>
      <c r="K64" s="16">
        <v>13</v>
      </c>
      <c r="L64" s="16">
        <v>13</v>
      </c>
      <c r="M64" s="16">
        <v>13</v>
      </c>
      <c r="N64" s="16">
        <v>13</v>
      </c>
      <c r="O64" s="16">
        <v>13</v>
      </c>
      <c r="P64" s="16">
        <v>13</v>
      </c>
      <c r="Q64" s="16">
        <v>14</v>
      </c>
      <c r="R64" s="16">
        <v>14</v>
      </c>
      <c r="S64" s="16">
        <v>14</v>
      </c>
      <c r="T64" s="16">
        <v>14</v>
      </c>
      <c r="U64" s="16">
        <v>14</v>
      </c>
      <c r="V64" s="16">
        <v>14</v>
      </c>
      <c r="W64" s="16">
        <v>14</v>
      </c>
      <c r="X64" s="16">
        <v>14</v>
      </c>
      <c r="Y64" s="16">
        <v>14</v>
      </c>
      <c r="Z64" s="16">
        <v>14</v>
      </c>
      <c r="AA64" s="16">
        <v>14</v>
      </c>
      <c r="AB64" s="16">
        <v>14</v>
      </c>
      <c r="AC64" s="16">
        <v>14</v>
      </c>
      <c r="AD64" s="16">
        <v>14</v>
      </c>
      <c r="AE64" s="16">
        <v>14</v>
      </c>
      <c r="AF64" s="16">
        <v>14</v>
      </c>
      <c r="AG64" s="16">
        <v>14</v>
      </c>
      <c r="AH64" s="16">
        <v>14</v>
      </c>
      <c r="AI64" s="16">
        <v>15</v>
      </c>
      <c r="AJ64" s="16">
        <v>15</v>
      </c>
      <c r="AK64" s="16">
        <v>15</v>
      </c>
      <c r="AL64" s="16">
        <v>15</v>
      </c>
      <c r="AM64" s="16">
        <v>15</v>
      </c>
      <c r="AN64" s="16">
        <v>15</v>
      </c>
      <c r="AO64" s="16">
        <v>15</v>
      </c>
      <c r="AP64" s="16">
        <v>15</v>
      </c>
      <c r="AQ64" s="16">
        <v>15</v>
      </c>
      <c r="AR64" s="16">
        <v>15</v>
      </c>
      <c r="AS64" s="16">
        <v>15</v>
      </c>
      <c r="AT64" s="16">
        <v>15</v>
      </c>
      <c r="AU64" s="16">
        <v>15</v>
      </c>
      <c r="AV64" s="16">
        <v>15</v>
      </c>
      <c r="AW64" s="16">
        <v>15</v>
      </c>
      <c r="AX64" s="16">
        <v>15</v>
      </c>
      <c r="AY64" s="16">
        <v>15</v>
      </c>
      <c r="AZ64" s="17">
        <v>15</v>
      </c>
      <c r="BA64" s="18" t="str">
        <v>H1</v>
      </c>
      <c r="BB64" s="19" t="str">
        <v>H1</v>
      </c>
      <c r="BC64" s="20">
        <v>16</v>
      </c>
      <c r="BD64" s="16">
        <v>16</v>
      </c>
      <c r="BE64" s="16">
        <v>16</v>
      </c>
      <c r="BF64" s="16">
        <v>16</v>
      </c>
      <c r="BG64" s="16">
        <v>16</v>
      </c>
      <c r="BH64" s="16">
        <v>16</v>
      </c>
      <c r="BI64" s="16">
        <v>16</v>
      </c>
      <c r="BJ64" s="372"/>
      <c r="BK64" s="373"/>
    </row>
    <row r="65" spans="3:65" ht="14.25" customHeight="1" x14ac:dyDescent="0.2">
      <c r="C65" s="15">
        <v>6</v>
      </c>
      <c r="D65" s="16">
        <v>10</v>
      </c>
      <c r="E65" s="16">
        <v>10</v>
      </c>
      <c r="F65" s="16">
        <v>10</v>
      </c>
      <c r="G65" s="16">
        <v>10</v>
      </c>
      <c r="H65" s="16">
        <v>10</v>
      </c>
      <c r="I65" s="16">
        <v>10</v>
      </c>
      <c r="J65" s="16">
        <v>10</v>
      </c>
      <c r="K65" s="16">
        <v>10</v>
      </c>
      <c r="L65" s="16">
        <v>10</v>
      </c>
      <c r="M65" s="16">
        <v>10</v>
      </c>
      <c r="N65" s="16">
        <v>10</v>
      </c>
      <c r="O65" s="16">
        <v>10</v>
      </c>
      <c r="P65" s="16">
        <v>10</v>
      </c>
      <c r="Q65" s="16">
        <v>10</v>
      </c>
      <c r="R65" s="16">
        <v>10</v>
      </c>
      <c r="S65" s="16">
        <v>10</v>
      </c>
      <c r="T65" s="16">
        <v>10</v>
      </c>
      <c r="U65" s="16">
        <v>11</v>
      </c>
      <c r="V65" s="16">
        <v>11</v>
      </c>
      <c r="W65" s="16">
        <v>11</v>
      </c>
      <c r="X65" s="16">
        <v>11</v>
      </c>
      <c r="Y65" s="16">
        <v>11</v>
      </c>
      <c r="Z65" s="16">
        <v>11</v>
      </c>
      <c r="AA65" s="16">
        <v>11</v>
      </c>
      <c r="AB65" s="16">
        <v>11</v>
      </c>
      <c r="AC65" s="16">
        <v>11</v>
      </c>
      <c r="AD65" s="16">
        <v>11</v>
      </c>
      <c r="AE65" s="16">
        <v>11</v>
      </c>
      <c r="AF65" s="16">
        <v>11</v>
      </c>
      <c r="AG65" s="16">
        <v>11</v>
      </c>
      <c r="AH65" s="16">
        <v>11</v>
      </c>
      <c r="AI65" s="16">
        <v>11</v>
      </c>
      <c r="AJ65" s="16">
        <v>11</v>
      </c>
      <c r="AK65" s="16">
        <v>11</v>
      </c>
      <c r="AL65" s="16">
        <v>11</v>
      </c>
      <c r="AM65" s="16">
        <v>12</v>
      </c>
      <c r="AN65" s="16">
        <v>12</v>
      </c>
      <c r="AO65" s="16">
        <v>12</v>
      </c>
      <c r="AP65" s="16">
        <v>12</v>
      </c>
      <c r="AQ65" s="16">
        <v>12</v>
      </c>
      <c r="AR65" s="16">
        <v>12</v>
      </c>
      <c r="AS65" s="16">
        <v>12</v>
      </c>
      <c r="AT65" s="16">
        <v>12</v>
      </c>
      <c r="AU65" s="16">
        <v>12</v>
      </c>
      <c r="AV65" s="16">
        <v>12</v>
      </c>
      <c r="AW65" s="16">
        <v>12</v>
      </c>
      <c r="AX65" s="16">
        <v>12</v>
      </c>
      <c r="AY65" s="16">
        <v>12</v>
      </c>
      <c r="AZ65" s="17">
        <v>12</v>
      </c>
      <c r="BA65" s="18" t="str">
        <v>H1</v>
      </c>
      <c r="BB65" s="19" t="str">
        <v>H1</v>
      </c>
      <c r="BC65" s="20">
        <v>12</v>
      </c>
      <c r="BD65" s="16">
        <v>12</v>
      </c>
      <c r="BE65" s="16">
        <v>13</v>
      </c>
      <c r="BF65" s="16">
        <v>13</v>
      </c>
      <c r="BG65" s="16">
        <v>13</v>
      </c>
      <c r="BH65" s="16">
        <v>13</v>
      </c>
      <c r="BI65" s="16">
        <v>13</v>
      </c>
      <c r="BJ65" s="372"/>
      <c r="BK65" s="373"/>
    </row>
    <row r="66" spans="3:65" ht="14.25" customHeight="1" x14ac:dyDescent="0.2">
      <c r="C66" s="15">
        <v>5</v>
      </c>
      <c r="D66" s="16">
        <v>6</v>
      </c>
      <c r="E66" s="16">
        <v>6</v>
      </c>
      <c r="F66" s="16">
        <v>6</v>
      </c>
      <c r="G66" s="16">
        <v>7</v>
      </c>
      <c r="H66" s="16">
        <v>7</v>
      </c>
      <c r="I66" s="16">
        <v>7</v>
      </c>
      <c r="J66" s="16">
        <v>7</v>
      </c>
      <c r="K66" s="16">
        <v>7</v>
      </c>
      <c r="L66" s="16">
        <v>7</v>
      </c>
      <c r="M66" s="16">
        <v>7</v>
      </c>
      <c r="N66" s="16">
        <v>7</v>
      </c>
      <c r="O66" s="16">
        <v>7</v>
      </c>
      <c r="P66" s="16">
        <v>7</v>
      </c>
      <c r="Q66" s="16">
        <v>7</v>
      </c>
      <c r="R66" s="16">
        <v>7</v>
      </c>
      <c r="S66" s="16">
        <v>7</v>
      </c>
      <c r="T66" s="16">
        <v>7</v>
      </c>
      <c r="U66" s="16">
        <v>7</v>
      </c>
      <c r="V66" s="16">
        <v>7</v>
      </c>
      <c r="W66" s="16">
        <v>7</v>
      </c>
      <c r="X66" s="16">
        <v>7</v>
      </c>
      <c r="Y66" s="16">
        <v>8</v>
      </c>
      <c r="Z66" s="16">
        <v>8</v>
      </c>
      <c r="AA66" s="16">
        <v>8</v>
      </c>
      <c r="AB66" s="16">
        <v>8</v>
      </c>
      <c r="AC66" s="16">
        <v>8</v>
      </c>
      <c r="AD66" s="16">
        <v>8</v>
      </c>
      <c r="AE66" s="16">
        <v>8</v>
      </c>
      <c r="AF66" s="16">
        <v>8</v>
      </c>
      <c r="AG66" s="16">
        <v>8</v>
      </c>
      <c r="AH66" s="16">
        <v>8</v>
      </c>
      <c r="AI66" s="16">
        <v>8</v>
      </c>
      <c r="AJ66" s="16">
        <v>8</v>
      </c>
      <c r="AK66" s="16">
        <v>8</v>
      </c>
      <c r="AL66" s="16">
        <v>8</v>
      </c>
      <c r="AM66" s="16">
        <v>8</v>
      </c>
      <c r="AN66" s="16">
        <v>8</v>
      </c>
      <c r="AO66" s="16">
        <v>8</v>
      </c>
      <c r="AP66" s="16">
        <v>8</v>
      </c>
      <c r="AQ66" s="16">
        <v>9</v>
      </c>
      <c r="AR66" s="16">
        <v>9</v>
      </c>
      <c r="AS66" s="16">
        <v>9</v>
      </c>
      <c r="AT66" s="16">
        <v>9</v>
      </c>
      <c r="AU66" s="16">
        <v>9</v>
      </c>
      <c r="AV66" s="16">
        <v>9</v>
      </c>
      <c r="AW66" s="16">
        <v>9</v>
      </c>
      <c r="AX66" s="16">
        <v>9</v>
      </c>
      <c r="AY66" s="16">
        <v>9</v>
      </c>
      <c r="AZ66" s="17">
        <v>9</v>
      </c>
      <c r="BA66" s="18" t="str">
        <v>H1</v>
      </c>
      <c r="BB66" s="19" t="str">
        <v>H1</v>
      </c>
      <c r="BC66" s="20">
        <v>9</v>
      </c>
      <c r="BD66" s="16">
        <v>9</v>
      </c>
      <c r="BE66" s="16">
        <v>9</v>
      </c>
      <c r="BF66" s="16">
        <v>9</v>
      </c>
      <c r="BG66" s="16">
        <v>9</v>
      </c>
      <c r="BH66" s="16">
        <v>9</v>
      </c>
      <c r="BI66" s="16">
        <v>10</v>
      </c>
      <c r="BJ66" s="372"/>
      <c r="BK66" s="373"/>
    </row>
    <row r="67" spans="3:65" ht="14.25" customHeight="1" x14ac:dyDescent="0.2">
      <c r="C67" s="15">
        <v>4</v>
      </c>
      <c r="D67" s="16">
        <v>3</v>
      </c>
      <c r="E67" s="16">
        <v>3</v>
      </c>
      <c r="F67" s="16">
        <v>3</v>
      </c>
      <c r="G67" s="16">
        <v>3</v>
      </c>
      <c r="H67" s="16">
        <v>3</v>
      </c>
      <c r="I67" s="16">
        <v>3</v>
      </c>
      <c r="J67" s="16">
        <v>3</v>
      </c>
      <c r="K67" s="16">
        <v>4</v>
      </c>
      <c r="L67" s="16">
        <v>4</v>
      </c>
      <c r="M67" s="16">
        <v>4</v>
      </c>
      <c r="N67" s="16">
        <v>4</v>
      </c>
      <c r="O67" s="16">
        <v>4</v>
      </c>
      <c r="P67" s="16">
        <v>4</v>
      </c>
      <c r="Q67" s="16">
        <v>4</v>
      </c>
      <c r="R67" s="16">
        <v>4</v>
      </c>
      <c r="S67" s="16">
        <v>4</v>
      </c>
      <c r="T67" s="16">
        <v>4</v>
      </c>
      <c r="U67" s="16">
        <v>4</v>
      </c>
      <c r="V67" s="16">
        <v>4</v>
      </c>
      <c r="W67" s="16">
        <v>4</v>
      </c>
      <c r="X67" s="16">
        <v>4</v>
      </c>
      <c r="Y67" s="16">
        <v>4</v>
      </c>
      <c r="Z67" s="16">
        <v>4</v>
      </c>
      <c r="AA67" s="16">
        <v>4</v>
      </c>
      <c r="AB67" s="16">
        <v>4</v>
      </c>
      <c r="AC67" s="16">
        <v>5</v>
      </c>
      <c r="AD67" s="16">
        <v>5</v>
      </c>
      <c r="AE67" s="16">
        <v>5</v>
      </c>
      <c r="AF67" s="16">
        <v>5</v>
      </c>
      <c r="AG67" s="16">
        <v>5</v>
      </c>
      <c r="AH67" s="16">
        <v>5</v>
      </c>
      <c r="AI67" s="16">
        <v>5</v>
      </c>
      <c r="AJ67" s="16">
        <v>5</v>
      </c>
      <c r="AK67" s="16">
        <v>5</v>
      </c>
      <c r="AL67" s="16">
        <v>5</v>
      </c>
      <c r="AM67" s="16">
        <v>5</v>
      </c>
      <c r="AN67" s="16">
        <v>5</v>
      </c>
      <c r="AO67" s="16">
        <v>5</v>
      </c>
      <c r="AP67" s="16">
        <v>5</v>
      </c>
      <c r="AQ67" s="16">
        <v>5</v>
      </c>
      <c r="AR67" s="16">
        <v>5</v>
      </c>
      <c r="AS67" s="16">
        <v>5</v>
      </c>
      <c r="AT67" s="16">
        <v>5</v>
      </c>
      <c r="AU67" s="16">
        <v>6</v>
      </c>
      <c r="AV67" s="16">
        <v>6</v>
      </c>
      <c r="AW67" s="16">
        <v>6</v>
      </c>
      <c r="AX67" s="16">
        <v>6</v>
      </c>
      <c r="AY67" s="16">
        <v>6</v>
      </c>
      <c r="AZ67" s="17">
        <v>6</v>
      </c>
      <c r="BA67" s="18" t="str">
        <v>H1</v>
      </c>
      <c r="BB67" s="19" t="str">
        <v>H1</v>
      </c>
      <c r="BC67" s="20">
        <v>6</v>
      </c>
      <c r="BD67" s="16">
        <v>6</v>
      </c>
      <c r="BE67" s="16">
        <v>6</v>
      </c>
      <c r="BF67" s="16">
        <v>6</v>
      </c>
      <c r="BG67" s="16">
        <v>6</v>
      </c>
      <c r="BH67" s="16">
        <v>6</v>
      </c>
      <c r="BI67" s="16">
        <v>6</v>
      </c>
      <c r="BJ67" s="372"/>
      <c r="BK67" s="373"/>
    </row>
    <row r="68" spans="3:65" ht="14.25" customHeight="1" thickBot="1" x14ac:dyDescent="0.25">
      <c r="C68" s="15">
        <v>3</v>
      </c>
      <c r="D68" s="16">
        <v>1</v>
      </c>
      <c r="E68" s="16">
        <v>1</v>
      </c>
      <c r="F68" s="16">
        <v>1</v>
      </c>
      <c r="G68" s="16">
        <v>1</v>
      </c>
      <c r="H68" s="16">
        <v>1</v>
      </c>
      <c r="I68" s="16">
        <v>1</v>
      </c>
      <c r="J68" s="16">
        <v>1</v>
      </c>
      <c r="K68" s="16">
        <v>1</v>
      </c>
      <c r="L68" s="16">
        <v>1</v>
      </c>
      <c r="M68" s="16">
        <v>1</v>
      </c>
      <c r="N68" s="16">
        <v>1</v>
      </c>
      <c r="O68" s="16">
        <v>1</v>
      </c>
      <c r="P68" s="16">
        <v>1</v>
      </c>
      <c r="Q68" s="16" t="str">
        <v>--</v>
      </c>
      <c r="R68" s="16">
        <v>1</v>
      </c>
      <c r="S68" s="16">
        <v>1</v>
      </c>
      <c r="T68" s="16">
        <v>1</v>
      </c>
      <c r="U68" s="16">
        <v>1</v>
      </c>
      <c r="V68" s="16">
        <v>1</v>
      </c>
      <c r="W68" s="16">
        <v>1</v>
      </c>
      <c r="X68" s="16">
        <v>1</v>
      </c>
      <c r="Y68" s="16">
        <v>2</v>
      </c>
      <c r="Z68" s="16">
        <v>2</v>
      </c>
      <c r="AA68" s="16">
        <v>2</v>
      </c>
      <c r="AB68" s="16">
        <v>2</v>
      </c>
      <c r="AC68" s="16">
        <v>2</v>
      </c>
      <c r="AD68" s="16">
        <v>2</v>
      </c>
      <c r="AE68" s="16">
        <v>2</v>
      </c>
      <c r="AF68" s="16">
        <v>2</v>
      </c>
      <c r="AG68" s="16">
        <v>2</v>
      </c>
      <c r="AH68" s="16">
        <v>2</v>
      </c>
      <c r="AI68" s="16">
        <v>2</v>
      </c>
      <c r="AJ68" s="16">
        <v>2</v>
      </c>
      <c r="AK68" s="16" t="str">
        <v>--</v>
      </c>
      <c r="AL68" s="16">
        <v>2</v>
      </c>
      <c r="AM68" s="16">
        <v>2</v>
      </c>
      <c r="AN68" s="16">
        <v>2</v>
      </c>
      <c r="AO68" s="16">
        <v>2</v>
      </c>
      <c r="AP68" s="16">
        <v>2</v>
      </c>
      <c r="AQ68" s="16">
        <v>2</v>
      </c>
      <c r="AR68" s="16">
        <v>2</v>
      </c>
      <c r="AS68" s="16">
        <v>2</v>
      </c>
      <c r="AT68" s="16">
        <v>3</v>
      </c>
      <c r="AU68" s="16">
        <v>3</v>
      </c>
      <c r="AV68" s="16">
        <v>3</v>
      </c>
      <c r="AW68" s="16">
        <v>3</v>
      </c>
      <c r="AX68" s="16">
        <v>3</v>
      </c>
      <c r="AY68" s="16">
        <v>3</v>
      </c>
      <c r="AZ68" s="17">
        <v>3</v>
      </c>
      <c r="BA68" s="25" t="str">
        <v>H1</v>
      </c>
      <c r="BB68" s="26" t="str">
        <v>H1</v>
      </c>
      <c r="BC68" s="20">
        <v>3</v>
      </c>
      <c r="BD68" s="16">
        <v>3</v>
      </c>
      <c r="BE68" s="16">
        <v>3</v>
      </c>
      <c r="BF68" s="16" t="str">
        <v>--</v>
      </c>
      <c r="BG68" s="16">
        <v>3</v>
      </c>
      <c r="BH68" s="16">
        <v>3</v>
      </c>
      <c r="BI68" s="16">
        <v>3</v>
      </c>
      <c r="BJ68" s="374"/>
      <c r="BK68" s="375"/>
      <c r="BM68" s="2" t="s">
        <v>113</v>
      </c>
    </row>
    <row r="69" spans="3:65" x14ac:dyDescent="0.2">
      <c r="BJ69" s="326"/>
      <c r="BK69" s="326"/>
    </row>
    <row r="71" spans="3:65" x14ac:dyDescent="0.2">
      <c r="D71" s="307"/>
    </row>
  </sheetData>
  <mergeCells count="5">
    <mergeCell ref="BJ40:BK41"/>
    <mergeCell ref="BJ42:BK47"/>
    <mergeCell ref="BJ48:BK53"/>
    <mergeCell ref="BJ54:BK60"/>
    <mergeCell ref="BJ61:BK68"/>
  </mergeCells>
  <conditionalFormatting sqref="D7:BI23">
    <cfRule type="expression" dxfId="22" priority="87">
      <formula>D7="--"</formula>
    </cfRule>
    <cfRule type="expression" dxfId="21" priority="88">
      <formula>AND(D7&lt;&gt;"",MOD(D7,6)=0)</formula>
    </cfRule>
    <cfRule type="expression" dxfId="20" priority="89">
      <formula>AND(D7&lt;&gt;"",MOD(D7,6)=1)</formula>
    </cfRule>
    <cfRule type="expression" dxfId="19" priority="90">
      <formula>AND(D7&lt;&gt;"",MOD(D7,6)=2)</formula>
    </cfRule>
    <cfRule type="expression" dxfId="18" priority="91">
      <formula>AND(D7&lt;&gt;"",MOD(D7,6)=3)</formula>
    </cfRule>
    <cfRule type="expression" dxfId="17" priority="92">
      <formula>AND(D7&lt;&gt;"",MOD(D7,6)=4)</formula>
    </cfRule>
    <cfRule type="expression" dxfId="16" priority="93">
      <formula>AND(D7&lt;&gt;"",MOD(D7,6)=5)</formula>
    </cfRule>
  </conditionalFormatting>
  <conditionalFormatting sqref="D24:BI33">
    <cfRule type="expression" dxfId="15" priority="17">
      <formula>D24="D"</formula>
    </cfRule>
    <cfRule type="expression" dxfId="14" priority="18">
      <formula>OR(D24="PLD",D24="INYRD")</formula>
    </cfRule>
    <cfRule type="expression" dxfId="13" priority="19">
      <formula>OR(D24="ENR",D24="CHS",D24="ONR")</formula>
    </cfRule>
    <cfRule type="expression" dxfId="12" priority="20">
      <formula>D24="LDD"</formula>
    </cfRule>
    <cfRule type="expression" dxfId="11" priority="21">
      <formula>D24="LDG"</formula>
    </cfRule>
    <cfRule type="expression" dxfId="10" priority="22">
      <formula>D24="PROJ"</formula>
    </cfRule>
    <cfRule type="expression" dxfId="9" priority="23">
      <formula>D24="--"</formula>
    </cfRule>
  </conditionalFormatting>
  <conditionalFormatting sqref="D42:BI68">
    <cfRule type="expression" dxfId="8" priority="1">
      <formula>D42="H2"</formula>
    </cfRule>
    <cfRule type="expression" dxfId="7" priority="2">
      <formula>D42="H1"</formula>
    </cfRule>
    <cfRule type="expression" dxfId="6" priority="3">
      <formula>D42="--"</formula>
    </cfRule>
    <cfRule type="expression" dxfId="5" priority="4">
      <formula>AND(D42&lt;&gt;"",MOD(D42,6)=0)</formula>
    </cfRule>
    <cfRule type="expression" dxfId="4" priority="5">
      <formula>AND(D42&lt;&gt;"",MOD(D42,6)=1)</formula>
    </cfRule>
    <cfRule type="expression" dxfId="3" priority="6">
      <formula>AND(D42&lt;&gt;"",MOD(D42,6)=2)</formula>
    </cfRule>
    <cfRule type="expression" dxfId="2" priority="7">
      <formula>AND(D42&lt;&gt;"",MOD(D42,6)=3)</formula>
    </cfRule>
    <cfRule type="expression" dxfId="1" priority="8">
      <formula>AND(D42&lt;&gt;"",MOD(D42,6)=4)</formula>
    </cfRule>
    <cfRule type="expression" dxfId="0" priority="9">
      <formula>AND(D42&lt;&gt;"",MOD(D42,6)=5)</formula>
    </cfRule>
  </conditionalFormatting>
  <pageMargins left="0.25" right="0.25" top="0.25" bottom="0.25" header="0.3" footer="0.3"/>
  <pageSetup paperSize="3" scale="7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92576-BD13-4863-A734-AB6222665FCA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f7b4e4-6495-46c0-8fcf-ef19f3a6bd9c" xsi:nil="true"/>
    <lcf76f155ced4ddcb4097134ff3c332f xmlns="ed3c05a0-cece-4f00-8403-7deeafde481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5E07CCE48A348B642B5529F500E03" ma:contentTypeVersion="14" ma:contentTypeDescription="Create a new document." ma:contentTypeScope="" ma:versionID="5b54151a9ba6a2cad0fec24781022b6a">
  <xsd:schema xmlns:xsd="http://www.w3.org/2001/XMLSchema" xmlns:xs="http://www.w3.org/2001/XMLSchema" xmlns:p="http://schemas.microsoft.com/office/2006/metadata/properties" xmlns:ns2="ed3c05a0-cece-4f00-8403-7deeafde481c" xmlns:ns3="07f7b4e4-6495-46c0-8fcf-ef19f3a6bd9c" targetNamespace="http://schemas.microsoft.com/office/2006/metadata/properties" ma:root="true" ma:fieldsID="a57e9ebe160f5f601aca792ababcae66" ns2:_="" ns3:_="">
    <xsd:import namespace="ed3c05a0-cece-4f00-8403-7deeafde481c"/>
    <xsd:import namespace="07f7b4e4-6495-46c0-8fcf-ef19f3a6bd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3c05a0-cece-4f00-8403-7deeafde4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43c9028-bbf4-4a1e-8032-2cd836384a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f7b4e4-6495-46c0-8fcf-ef19f3a6bd9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6562c33-d12d-4571-a484-bdaf3f802990}" ma:internalName="TaxCatchAll" ma:showField="CatchAllData" ma:web="07f7b4e4-6495-46c0-8fcf-ef19f3a6bd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D8B666-37C2-4F3C-8C3B-F45AFC3B36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A71F57-8712-40F6-B031-B10FE1B4C389}">
  <ds:schemaRefs>
    <ds:schemaRef ds:uri="http://schemas.microsoft.com/office/2006/metadata/properties"/>
    <ds:schemaRef ds:uri="http://schemas.microsoft.com/office/infopath/2007/PartnerControls"/>
    <ds:schemaRef ds:uri="07f7b4e4-6495-46c0-8fcf-ef19f3a6bd9c"/>
    <ds:schemaRef ds:uri="ed3c05a0-cece-4f00-8403-7deeafde481c"/>
  </ds:schemaRefs>
</ds:datastoreItem>
</file>

<file path=customXml/itemProps3.xml><?xml version="1.0" encoding="utf-8"?>
<ds:datastoreItem xmlns:ds="http://schemas.openxmlformats.org/officeDocument/2006/customXml" ds:itemID="{F9D86E73-C9B3-4833-99E4-D3D82540CC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3c05a0-cece-4f00-8403-7deeafde481c"/>
    <ds:schemaRef ds:uri="07f7b4e4-6495-46c0-8fcf-ef19f3a6bd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111 Wall Dashboard</vt:lpstr>
      <vt:lpstr>111 Wall_Building Matrix</vt:lpstr>
      <vt:lpstr>111 Wall_CTNR Schedule</vt:lpstr>
      <vt:lpstr>111 Wall to CCM</vt:lpstr>
      <vt:lpstr>CTNR-Floor</vt:lpstr>
      <vt:lpstr>111W_CTNR Matrix (Condensed)</vt:lpstr>
      <vt:lpstr>&gt;&gt;&gt;</vt:lpstr>
      <vt:lpstr>'111 Wall to CCM'!Print_Area</vt:lpstr>
      <vt:lpstr>'111W_CTNR Matrix (Condensed)'!Print_Area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Ewan Mathie</dc:creator>
  <cp:lastModifiedBy>Ewan Mathie</cp:lastModifiedBy>
  <cp:lastPrinted>2026-07-09T22:14:15Z</cp:lastPrinted>
  <dcterms:created xsi:type="dcterms:W3CDTF">2026-06-04T14:43:42Z</dcterms:created>
  <dcterms:modified xsi:type="dcterms:W3CDTF">2026-07-14T15:11:30Z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0x0101007645E07CCE48A348B642B5529F500E03</vt:lpwstr>
  </property>
  <property fmtid="{D5CDD505-2E9C-101B-9397-08002B2CF9AE}" pid="3" name="MediaServiceImageTags">
    <vt:lpwstr/>
  </property>
</Properties>
</file>